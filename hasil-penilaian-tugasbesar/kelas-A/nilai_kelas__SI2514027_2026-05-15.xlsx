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lai Mahasiswa" sheetId="1" state="visible" r:id="rId1"/>
    <sheet xmlns:r="http://schemas.openxmlformats.org/officeDocument/2006/relationships" name="Bentuk Penilaian" sheetId="2" state="visible" r:id="rId2"/>
    <sheet xmlns:r="http://schemas.openxmlformats.org/officeDocument/2006/relationships" name="Kategori Nilai" sheetId="3" state="visible" r:id="rId3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4">
    <font>
      <name val="Calibri"/>
      <strike val="0"/>
      <color rgb="FF000000"/>
      <sz val="11"/>
    </font>
    <font>
      <name val="Calibri"/>
      <b val="1"/>
      <strike val="0"/>
      <color rgb="FF000000"/>
      <sz val="11"/>
    </font>
    <font>
      <name val="Calibri"/>
      <b val="1"/>
      <strike val="0"/>
      <color rgb="FF000000"/>
      <sz val="12"/>
    </font>
    <font>
      <name val="Calibri"/>
      <strike val="0"/>
      <color rgb="FF666666"/>
      <sz val="8"/>
    </font>
  </fonts>
  <fills count="5">
    <fill>
      <patternFill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rgb="FFE6F3FF"/>
        <bgColor rgb="FF000000"/>
      </patternFill>
    </fill>
    <fill>
      <patternFill patternType="solid">
        <fgColor rgb="FFF5F5F5"/>
        <bgColor rgb="FF000000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1" applyAlignment="1" applyProtection="1" pivotButton="0" quotePrefix="0" xfId="0">
      <alignment horizontal="left" vertical="center"/>
      <protection locked="0" hidden="0"/>
    </xf>
    <xf numFmtId="0" fontId="1" fillId="2" borderId="1" applyAlignment="1" applyProtection="1" pivotButton="0" quotePrefix="0" xfId="0">
      <alignment horizontal="center" vertical="center"/>
      <protection locked="0" hidden="0"/>
    </xf>
    <xf numFmtId="0" fontId="2" fillId="3" borderId="2" applyAlignment="1" pivotButton="0" quotePrefix="0" xfId="0">
      <alignment horizontal="left" vertical="center"/>
    </xf>
    <xf numFmtId="0" fontId="1" fillId="3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0" fillId="0" borderId="0" pivotButton="0" quotePrefix="0" xfId="0"/>
    <xf numFmtId="1" fontId="3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showGridLines="1" showRowColHeaders="1" tabSelected="1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D3" sqref="D3:Y3"/>
    </sheetView>
  </sheetViews>
  <sheetFormatPr baseColWidth="8" defaultRowHeight="14.4" outlineLevelRow="0"/>
  <cols>
    <col width="5" customWidth="1" style="7" min="1" max="1"/>
    <col width="12" customWidth="1" style="7" min="2" max="2"/>
    <col width="30" customWidth="1" style="7" min="3" max="3"/>
    <col width="16" customWidth="1" style="7" min="4" max="4"/>
    <col width="16" customWidth="1" style="7" min="5" max="5"/>
    <col width="16" customWidth="1" style="7" min="6" max="6"/>
    <col width="16" customWidth="1" style="7" min="7" max="7"/>
    <col width="16" customWidth="1" style="7" min="8" max="8"/>
    <col width="16" customWidth="1" style="7" min="9" max="9"/>
    <col width="16" customWidth="1" style="7" min="10" max="10"/>
    <col width="16" customWidth="1" style="7" min="11" max="11"/>
    <col width="16" customWidth="1" style="7" min="12" max="12"/>
    <col width="16" customWidth="1" style="7" min="13" max="13"/>
    <col width="16" customWidth="1" style="7" min="14" max="14"/>
    <col width="16" customWidth="1" style="7" min="15" max="15"/>
    <col width="16" customWidth="1" style="7" min="16" max="16"/>
    <col width="16" customWidth="1" style="7" min="17" max="17"/>
    <col width="16" customWidth="1" style="7" min="18" max="18"/>
    <col width="16" customWidth="1" style="7" min="19" max="19"/>
    <col width="16" customWidth="1" style="7" min="20" max="20"/>
    <col width="16" customWidth="1" style="7" min="21" max="21"/>
    <col width="16" customWidth="1" style="7" min="22" max="22"/>
    <col width="16" customWidth="1" style="7" min="23" max="23"/>
    <col width="16" customWidth="1" style="7" min="24" max="24"/>
    <col width="16" customWidth="1" style="7" min="25" max="25"/>
    <col width="8" customWidth="1" style="7" min="26" max="26"/>
  </cols>
  <sheetData>
    <row r="1" ht="25" customHeight="1" s="7">
      <c r="A1" s="4" t="inlineStr">
        <is>
          <t>RPS: Komputasi Awan - SI2514027 | Kelas: A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10" t="n"/>
    </row>
    <row r="2" ht="45" customHeight="1" s="7">
      <c r="A2" s="5" t="inlineStr">
        <is>
          <t>No</t>
        </is>
      </c>
      <c r="B2" s="5" t="inlineStr">
        <is>
          <t>NIM</t>
        </is>
      </c>
      <c r="C2" s="5" t="inlineStr">
        <is>
          <t>Nama Mahasiswa</t>
        </is>
      </c>
      <c r="D2" s="5" t="inlineStr">
        <is>
          <t>Minggu 1-4
5.00
Kuis praktik hands-on individual di awal pertemuan</t>
        </is>
      </c>
      <c r="E2" s="5" t="inlineStr">
        <is>
          <t>Minggu 1-4
5.00
Tugas terstruktur pengembangan dari workshop via GitHub</t>
        </is>
      </c>
      <c r="F2" s="5" t="inlineStr">
        <is>
          <t>Minggu 1-4
5.00
Penilaian partisipasi dan kontribusi mingguan via Git log</t>
        </is>
      </c>
      <c r="G2" s="5" t="inlineStr">
        <is>
          <t>Minggu 5-7
4.00
Kuis praktik hands-on perbaikan dan penulisan Dockerfile di awal pertemuan</t>
        </is>
      </c>
      <c r="H2" s="5" t="inlineStr">
        <is>
          <t>Minggu 5-7
4.00
Tugas terstruktur optimasi Docker image dan konfigurasi Docker Compose via GitHub</t>
        </is>
      </c>
      <c r="I2" s="5" t="inlineStr">
        <is>
          <t>Minggu 5-7
4.00
Penilaian kontribusi dan progres mingguan via Git commit log</t>
        </is>
      </c>
      <c r="J2" s="5" t="inlineStr">
        <is>
          <t>Minggu 8
6.00
Demo live aplikasi full-stack berjalan via docker compose up</t>
        </is>
      </c>
      <c r="K2" s="5" t="inlineStr">
        <is>
          <t>Minggu 8
7.00
Viva individual: mahasiswa menjelaskan dan menjawab pertanyaan tentang kode sendiri</t>
        </is>
      </c>
      <c r="L2" s="5" t="inlineStr">
        <is>
          <t>Minggu 8
4.00
Penilaian kualitas kode dan arsitektur aplikasi</t>
        </is>
      </c>
      <c r="M2" s="5" t="inlineStr">
        <is>
          <t>Minggu 8
3.00
Dokumentasi README dan diagram arsitektur</t>
        </is>
      </c>
      <c r="N2" s="5" t="inlineStr">
        <is>
          <t>Minggu 9-11
3.00
Kuis praktik hands-on Git workflow dan penulisan GitHub Actions YAML di awal pertemuan</t>
        </is>
      </c>
      <c r="O2" s="5" t="inlineStr">
        <is>
          <t>Minggu 9-11
3.00
Tugas terstruktur implementasi CI/CD pipeline dengan GitHub Actions badge hijau via GitHub</t>
        </is>
      </c>
      <c r="P2" s="5" t="inlineStr">
        <is>
          <t>Minggu 9-11
3.00
Penilaian kontribusi dan progres mingguan via Git commit log dan PR history</t>
        </is>
      </c>
      <c r="Q2" s="5" t="inlineStr">
        <is>
          <t>Minggu 12-14
3.00
Kuis praktik hands-on identifikasi service boundaries dan debug inter-service communication</t>
        </is>
      </c>
      <c r="R2" s="5" t="inlineStr">
        <is>
          <t>Minggu 12-14
3.00
Tugas terstruktur pembuatan Architecture Decision Record dan implementasi microservices via GitHub</t>
        </is>
      </c>
      <c r="S2" s="5" t="inlineStr">
        <is>
          <t>Minggu 12-14
3.00
Penilaian kontribusi dan progres mingguan via Git commit log dan architecture diagram</t>
        </is>
      </c>
      <c r="T2" s="5" t="inlineStr">
        <is>
          <t>Minggu 15
4.00
Penilaian security checklist dan penerapan best practices pada repository final</t>
        </is>
      </c>
      <c r="U2" s="5" t="inlineStr">
        <is>
          <t>Minggu 15
6.00
Dokumentasi teknis lengkap: README, diagram arsitektur C4, dan reflection paper individual</t>
        </is>
      </c>
      <c r="V2" s="5" t="inlineStr">
        <is>
          <t>Minggu 16
6.00
Demo live aplikasi production-ready yang accessible via URL cloud</t>
        </is>
      </c>
      <c r="W2" s="5" t="inlineStr">
        <is>
          <t>Minggu 16
7.00
Viva individual: pertanyaan mendalam tentang arsitektur dan kode sendiri</t>
        </is>
      </c>
      <c r="X2" s="5" t="inlineStr">
        <is>
          <t>Minggu 16
4.00
Demo CI/CD pipeline end-to-end: push code hingga otomatis deploy</t>
        </is>
      </c>
      <c r="Y2" s="5" t="inlineStr">
        <is>
          <t>Minggu 16
8.00
Dokumentasi final dan reflection paper individual</t>
        </is>
      </c>
      <c r="Z2" s="5" t="inlineStr">
        <is>
          <t>Total</t>
        </is>
      </c>
    </row>
    <row r="3" ht="20" customHeight="1" s="7">
      <c r="A3" s="6" t="inlineStr">
        <is>
          <t>no</t>
        </is>
      </c>
      <c r="B3" s="6" t="inlineStr">
        <is>
          <t>nim</t>
        </is>
      </c>
      <c r="C3" s="6" t="inlineStr">
        <is>
          <t>nama_mahasiswa</t>
        </is>
      </c>
      <c r="D3" s="8" t="n">
        <v>14283</v>
      </c>
      <c r="E3" s="8" t="n">
        <v>14285</v>
      </c>
      <c r="F3" s="8" t="n">
        <v>14286</v>
      </c>
      <c r="G3" s="8" t="n">
        <v>14305</v>
      </c>
      <c r="H3" s="8" t="n">
        <v>14307</v>
      </c>
      <c r="I3" s="8" t="n">
        <v>14309</v>
      </c>
      <c r="J3" s="8" t="n">
        <v>14312</v>
      </c>
      <c r="K3" s="8" t="n">
        <v>14313</v>
      </c>
      <c r="L3" s="8" t="n">
        <v>14314</v>
      </c>
      <c r="M3" s="8" t="n">
        <v>14315</v>
      </c>
      <c r="N3" s="8" t="n">
        <v>14316</v>
      </c>
      <c r="O3" s="8" t="n">
        <v>14317</v>
      </c>
      <c r="P3" s="8" t="n">
        <v>14318</v>
      </c>
      <c r="Q3" s="8" t="n">
        <v>14319</v>
      </c>
      <c r="R3" s="8" t="n">
        <v>14320</v>
      </c>
      <c r="S3" s="8" t="n">
        <v>14321</v>
      </c>
      <c r="T3" s="8" t="n">
        <v>14322</v>
      </c>
      <c r="U3" s="8" t="n">
        <v>14323</v>
      </c>
      <c r="V3" s="8" t="n">
        <v>14325</v>
      </c>
      <c r="W3" s="8" t="n">
        <v>14326</v>
      </c>
      <c r="X3" s="8" t="n">
        <v>14329</v>
      </c>
      <c r="Y3" s="8" t="n">
        <v>14330</v>
      </c>
      <c r="Z3" s="6" t="inlineStr">
        <is>
          <t>total</t>
        </is>
      </c>
    </row>
    <row r="4">
      <c r="A4" s="1" t="n">
        <v>1</v>
      </c>
      <c r="B4" s="1" t="n">
        <v>10211048</v>
      </c>
      <c r="C4" s="2" t="inlineStr">
        <is>
          <t>Legi,Raymond Imanuel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3">
        <f>SUM(D4*5.00/100,E4*5.00/100,F4*5.00/100,G4*4.00/100,H4*4.00/100,I4*4.00/100,J4*6.00/100,K4*7.00/100,L4*4.00/100,M4*3.00/100,N4*3.00/100,O4*3.00/100,P4*3.00/100,Q4*3.00/100,R4*3.00/100,S4*3.00/100,T4*4.00/100,U4*6.00/100,V4*6.00/100,W4*7.00/100,X4*4.00/100,Y4*8.00/100)</f>
        <v/>
      </c>
    </row>
    <row r="5">
      <c r="A5" s="1" t="n">
        <v>2</v>
      </c>
      <c r="B5" s="1" t="n">
        <v>10231003</v>
      </c>
      <c r="C5" s="2" t="inlineStr">
        <is>
          <t>Adam Ibnu ramadhan</t>
        </is>
      </c>
      <c r="D5" s="1" t="n"/>
      <c r="E5" s="1" t="n"/>
      <c r="F5" s="1" t="n"/>
      <c r="G5" s="1" t="n"/>
      <c r="H5" s="1" t="n"/>
      <c r="I5" s="1" t="n"/>
      <c r="J5" s="1" t="n">
        <v>96</v>
      </c>
      <c r="K5" s="1" t="n">
        <v>89</v>
      </c>
      <c r="L5" s="1" t="n">
        <v>92</v>
      </c>
      <c r="M5" s="1" t="n">
        <v>100</v>
      </c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3">
        <f>SUM(D5*5.00/100,E5*5.00/100,F5*5.00/100,G5*4.00/100,H5*4.00/100,I5*4.00/100,J5*6.00/100,K5*7.00/100,L5*4.00/100,M5*3.00/100,N5*3.00/100,O5*3.00/100,P5*3.00/100,Q5*3.00/100,R5*3.00/100,S5*3.00/100,T5*4.00/100,U5*6.00/100,V5*6.00/100,W5*7.00/100,X5*4.00/100,Y5*8.00/100)</f>
        <v/>
      </c>
    </row>
    <row r="6">
      <c r="A6" s="1" t="n">
        <v>3</v>
      </c>
      <c r="B6" s="1" t="n">
        <v>10231005</v>
      </c>
      <c r="C6" s="2" t="inlineStr">
        <is>
          <t>Adhyasta firdaus</t>
        </is>
      </c>
      <c r="D6" s="1" t="n"/>
      <c r="E6" s="1" t="n"/>
      <c r="F6" s="1" t="n"/>
      <c r="G6" s="1" t="n"/>
      <c r="H6" s="1" t="n"/>
      <c r="I6" s="1" t="n"/>
      <c r="J6" s="1" t="n">
        <v>96</v>
      </c>
      <c r="K6" s="1" t="n">
        <v>86.8</v>
      </c>
      <c r="L6" s="1" t="n">
        <v>92</v>
      </c>
      <c r="M6" s="1" t="n">
        <v>100</v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3">
        <f>SUM(D6*5.00/100,E6*5.00/100,F6*5.00/100,G6*4.00/100,H6*4.00/100,I6*4.00/100,J6*6.00/100,K6*7.00/100,L6*4.00/100,M6*3.00/100,N6*3.00/100,O6*3.00/100,P6*3.00/100,Q6*3.00/100,R6*3.00/100,S6*3.00/100,T6*4.00/100,U6*6.00/100,V6*6.00/100,W6*7.00/100,X6*4.00/100,Y6*8.00/100)</f>
        <v/>
      </c>
    </row>
    <row r="7">
      <c r="A7" s="1" t="n">
        <v>4</v>
      </c>
      <c r="B7" s="1" t="n">
        <v>10231007</v>
      </c>
      <c r="C7" s="2" t="inlineStr">
        <is>
          <t>Adonia Azarya Tamalonggehe</t>
        </is>
      </c>
      <c r="D7" s="1" t="n"/>
      <c r="E7" s="1" t="n"/>
      <c r="F7" s="1" t="n"/>
      <c r="G7" s="1" t="n"/>
      <c r="H7" s="1" t="n"/>
      <c r="I7" s="1" t="n"/>
      <c r="J7" s="1" t="n">
        <v>96</v>
      </c>
      <c r="K7" s="1" t="n">
        <v>88.3</v>
      </c>
      <c r="L7" s="1" t="n">
        <v>92</v>
      </c>
      <c r="M7" s="1" t="n">
        <v>100</v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3">
        <f>SUM(D7*5.00/100,E7*5.00/100,F7*5.00/100,G7*4.00/100,H7*4.00/100,I7*4.00/100,J7*6.00/100,K7*7.00/100,L7*4.00/100,M7*3.00/100,N7*3.00/100,O7*3.00/100,P7*3.00/100,Q7*3.00/100,R7*3.00/100,S7*3.00/100,T7*4.00/100,U7*6.00/100,V7*6.00/100,W7*7.00/100,X7*4.00/100,Y7*8.00/100)</f>
        <v/>
      </c>
    </row>
    <row r="8">
      <c r="A8" s="1" t="n">
        <v>5</v>
      </c>
      <c r="B8" s="1" t="n">
        <v>10231009</v>
      </c>
      <c r="C8" s="2" t="inlineStr">
        <is>
          <t>Alfian Fadillah Putra</t>
        </is>
      </c>
      <c r="D8" s="1" t="n"/>
      <c r="E8" s="1" t="n"/>
      <c r="F8" s="1" t="n"/>
      <c r="G8" s="1" t="n"/>
      <c r="H8" s="1" t="n"/>
      <c r="I8" s="1" t="n"/>
      <c r="J8" s="1" t="n">
        <v>96</v>
      </c>
      <c r="K8" s="1" t="n">
        <v>80.3</v>
      </c>
      <c r="L8" s="1" t="n">
        <v>92</v>
      </c>
      <c r="M8" s="1" t="n">
        <v>100</v>
      </c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3">
        <f>SUM(D8*5.00/100,E8*5.00/100,F8*5.00/100,G8*4.00/100,H8*4.00/100,I8*4.00/100,J8*6.00/100,K8*7.00/100,L8*4.00/100,M8*3.00/100,N8*3.00/100,O8*3.00/100,P8*3.00/100,Q8*3.00/100,R8*3.00/100,S8*3.00/100,T8*4.00/100,U8*6.00/100,V8*6.00/100,W8*7.00/100,X8*4.00/100,Y8*8.00/100)</f>
        <v/>
      </c>
    </row>
    <row r="9">
      <c r="A9" s="1" t="n">
        <v>6</v>
      </c>
      <c r="B9" s="1" t="n">
        <v>10231011</v>
      </c>
      <c r="C9" s="2" t="inlineStr">
        <is>
          <t>Alsha Dwi Cahya</t>
        </is>
      </c>
      <c r="D9" s="1" t="n"/>
      <c r="E9" s="1" t="n"/>
      <c r="F9" s="1" t="n"/>
      <c r="G9" s="1" t="n"/>
      <c r="H9" s="1" t="n"/>
      <c r="I9" s="1" t="n"/>
      <c r="J9" s="1" t="n">
        <v>92</v>
      </c>
      <c r="K9" s="1" t="n">
        <v>91.59999999999999</v>
      </c>
      <c r="L9" s="1" t="n">
        <v>96</v>
      </c>
      <c r="M9" s="1" t="n">
        <v>100</v>
      </c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3">
        <f>SUM(D9*5.00/100,E9*5.00/100,F9*5.00/100,G9*4.00/100,H9*4.00/100,I9*4.00/100,J9*6.00/100,K9*7.00/100,L9*4.00/100,M9*3.00/100,N9*3.00/100,O9*3.00/100,P9*3.00/100,Q9*3.00/100,R9*3.00/100,S9*3.00/100,T9*4.00/100,U9*6.00/100,V9*6.00/100,W9*7.00/100,X9*4.00/100,Y9*8.00/100)</f>
        <v/>
      </c>
    </row>
    <row r="10">
      <c r="A10" s="1" t="n">
        <v>7</v>
      </c>
      <c r="B10" s="1" t="n">
        <v>10231013</v>
      </c>
      <c r="C10" s="2" t="inlineStr">
        <is>
          <t>Amazia Devid Saputra</t>
        </is>
      </c>
      <c r="D10" s="1" t="n"/>
      <c r="E10" s="1" t="n"/>
      <c r="F10" s="1" t="n"/>
      <c r="G10" s="1" t="n"/>
      <c r="H10" s="1" t="n"/>
      <c r="I10" s="1" t="n"/>
      <c r="J10" s="1" t="n">
        <v>92</v>
      </c>
      <c r="K10" s="1" t="n">
        <v>91.59999999999999</v>
      </c>
      <c r="L10" s="1" t="n">
        <v>96</v>
      </c>
      <c r="M10" s="1" t="n">
        <v>100</v>
      </c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3">
        <f>SUM(D10*5.00/100,E10*5.00/100,F10*5.00/100,G10*4.00/100,H10*4.00/100,I10*4.00/100,J10*6.00/100,K10*7.00/100,L10*4.00/100,M10*3.00/100,N10*3.00/100,O10*3.00/100,P10*3.00/100,Q10*3.00/100,R10*3.00/100,S10*3.00/100,T10*4.00/100,U10*6.00/100,V10*6.00/100,W10*7.00/100,X10*4.00/100,Y10*8.00/100)</f>
        <v/>
      </c>
    </row>
    <row r="11">
      <c r="A11" s="1" t="n">
        <v>8</v>
      </c>
      <c r="B11" s="1" t="n">
        <v>10231015</v>
      </c>
      <c r="C11" s="2" t="inlineStr">
        <is>
          <t>Andini Permata Sari</t>
        </is>
      </c>
      <c r="D11" s="1" t="n"/>
      <c r="E11" s="1" t="n"/>
      <c r="F11" s="1" t="n"/>
      <c r="G11" s="1" t="n"/>
      <c r="H11" s="1" t="n"/>
      <c r="I11" s="1" t="n"/>
      <c r="J11" s="1" t="n">
        <v>92</v>
      </c>
      <c r="K11" s="1" t="n">
        <v>94.09999999999999</v>
      </c>
      <c r="L11" s="1" t="n">
        <v>96</v>
      </c>
      <c r="M11" s="1" t="n">
        <v>100</v>
      </c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3">
        <f>SUM(D11*5.00/100,E11*5.00/100,F11*5.00/100,G11*4.00/100,H11*4.00/100,I11*4.00/100,J11*6.00/100,K11*7.00/100,L11*4.00/100,M11*3.00/100,N11*3.00/100,O11*3.00/100,P11*3.00/100,Q11*3.00/100,R11*3.00/100,S11*3.00/100,T11*4.00/100,U11*6.00/100,V11*6.00/100,W11*7.00/100,X11*4.00/100,Y11*8.00/100)</f>
        <v/>
      </c>
    </row>
    <row r="12">
      <c r="A12" s="1" t="n">
        <v>9</v>
      </c>
      <c r="B12" s="1" t="n">
        <v>10231017</v>
      </c>
      <c r="C12" s="2" t="inlineStr">
        <is>
          <t>Ansellma Tita Pakartiwuri Putri</t>
        </is>
      </c>
      <c r="D12" s="1" t="n"/>
      <c r="E12" s="1" t="n"/>
      <c r="F12" s="1" t="n"/>
      <c r="G12" s="1" t="n"/>
      <c r="H12" s="1" t="n"/>
      <c r="I12" s="1" t="n"/>
      <c r="J12" s="1" t="n">
        <v>92</v>
      </c>
      <c r="K12" s="1" t="n">
        <v>91.59999999999999</v>
      </c>
      <c r="L12" s="1" t="n">
        <v>96</v>
      </c>
      <c r="M12" s="1" t="n">
        <v>100</v>
      </c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3">
        <f>SUM(D12*5.00/100,E12*5.00/100,F12*5.00/100,G12*4.00/100,H12*4.00/100,I12*4.00/100,J12*6.00/100,K12*7.00/100,L12*4.00/100,M12*3.00/100,N12*3.00/100,O12*3.00/100,P12*3.00/100,Q12*3.00/100,R12*3.00/100,S12*3.00/100,T12*4.00/100,U12*6.00/100,V12*6.00/100,W12*7.00/100,X12*4.00/100,Y12*8.00/100)</f>
        <v/>
      </c>
    </row>
    <row r="13">
      <c r="A13" s="1" t="n">
        <v>10</v>
      </c>
      <c r="B13" s="1" t="n">
        <v>10231021</v>
      </c>
      <c r="C13" s="2" t="inlineStr">
        <is>
          <t>AVHILLA CATTON ANDALUCIA</t>
        </is>
      </c>
      <c r="D13" s="1" t="n"/>
      <c r="E13" s="1" t="n"/>
      <c r="F13" s="1" t="n"/>
      <c r="G13" s="1" t="n"/>
      <c r="H13" s="1" t="n"/>
      <c r="I13" s="1" t="n"/>
      <c r="J13" s="1" t="n">
        <v>96</v>
      </c>
      <c r="K13" s="1" t="n">
        <v>97.8</v>
      </c>
      <c r="L13" s="1" t="n">
        <v>96</v>
      </c>
      <c r="M13" s="1" t="n">
        <v>100</v>
      </c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3">
        <f>SUM(D13*5.00/100,E13*5.00/100,F13*5.00/100,G13*4.00/100,H13*4.00/100,I13*4.00/100,J13*6.00/100,K13*7.00/100,L13*4.00/100,M13*3.00/100,N13*3.00/100,O13*3.00/100,P13*3.00/100,Q13*3.00/100,R13*3.00/100,S13*3.00/100,T13*4.00/100,U13*6.00/100,V13*6.00/100,W13*7.00/100,X13*4.00/100,Y13*8.00/100)</f>
        <v/>
      </c>
    </row>
    <row r="14">
      <c r="A14" s="1" t="n">
        <v>11</v>
      </c>
      <c r="B14" s="1" t="n">
        <v>10231023</v>
      </c>
      <c r="C14" s="2" t="inlineStr">
        <is>
          <t>Betran</t>
        </is>
      </c>
      <c r="D14" s="1" t="n"/>
      <c r="E14" s="1" t="n"/>
      <c r="F14" s="1" t="n"/>
      <c r="G14" s="1" t="n"/>
      <c r="H14" s="1" t="n"/>
      <c r="I14" s="1" t="n"/>
      <c r="J14" s="1" t="n">
        <v>96</v>
      </c>
      <c r="K14" s="1" t="n">
        <v>92.8</v>
      </c>
      <c r="L14" s="1" t="n">
        <v>96</v>
      </c>
      <c r="M14" s="1" t="n">
        <v>100</v>
      </c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3">
        <f>SUM(D14*5.00/100,E14*5.00/100,F14*5.00/100,G14*4.00/100,H14*4.00/100,I14*4.00/100,J14*6.00/100,K14*7.00/100,L14*4.00/100,M14*3.00/100,N14*3.00/100,O14*3.00/100,P14*3.00/100,Q14*3.00/100,R14*3.00/100,S14*3.00/100,T14*4.00/100,U14*6.00/100,V14*6.00/100,W14*7.00/100,X14*4.00/100,Y14*8.00/100)</f>
        <v/>
      </c>
    </row>
    <row r="15">
      <c r="A15" s="1" t="n">
        <v>12</v>
      </c>
      <c r="B15" s="1" t="n">
        <v>10231025</v>
      </c>
      <c r="C15" s="2" t="inlineStr">
        <is>
          <t>Chelsy Olivia</t>
        </is>
      </c>
      <c r="D15" s="1" t="n"/>
      <c r="E15" s="1" t="n"/>
      <c r="F15" s="1" t="n"/>
      <c r="G15" s="1" t="n"/>
      <c r="H15" s="1" t="n"/>
      <c r="I15" s="1" t="n"/>
      <c r="J15" s="1" t="n">
        <v>96</v>
      </c>
      <c r="K15" s="1" t="n">
        <v>87.8</v>
      </c>
      <c r="L15" s="1" t="n">
        <v>96</v>
      </c>
      <c r="M15" s="1" t="n">
        <v>100</v>
      </c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3">
        <f>SUM(D15*5.00/100,E15*5.00/100,F15*5.00/100,G15*4.00/100,H15*4.00/100,I15*4.00/100,J15*6.00/100,K15*7.00/100,L15*4.00/100,M15*3.00/100,N15*3.00/100,O15*3.00/100,P15*3.00/100,Q15*3.00/100,R15*3.00/100,S15*3.00/100,T15*4.00/100,U15*6.00/100,V15*6.00/100,W15*7.00/100,X15*4.00/100,Y15*8.00/100)</f>
        <v/>
      </c>
    </row>
    <row r="16">
      <c r="A16" s="1" t="n">
        <v>13</v>
      </c>
      <c r="B16" s="1" t="n">
        <v>10231029</v>
      </c>
      <c r="C16" s="2" t="inlineStr">
        <is>
          <t>Debora Intania Subekti</t>
        </is>
      </c>
      <c r="D16" s="1" t="n"/>
      <c r="E16" s="1" t="n"/>
      <c r="F16" s="1" t="n"/>
      <c r="G16" s="1" t="n"/>
      <c r="H16" s="1" t="n"/>
      <c r="I16" s="1" t="n"/>
      <c r="J16" s="1" t="n">
        <v>96</v>
      </c>
      <c r="K16" s="1" t="n">
        <v>97.8</v>
      </c>
      <c r="L16" s="1" t="n">
        <v>96</v>
      </c>
      <c r="M16" s="1" t="n">
        <v>100</v>
      </c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3">
        <f>SUM(D16*5.00/100,E16*5.00/100,F16*5.00/100,G16*4.00/100,H16*4.00/100,I16*4.00/100,J16*6.00/100,K16*7.00/100,L16*4.00/100,M16*3.00/100,N16*3.00/100,O16*3.00/100,P16*3.00/100,Q16*3.00/100,R16*3.00/100,S16*3.00/100,T16*4.00/100,U16*6.00/100,V16*6.00/100,W16*7.00/100,X16*4.00/100,Y16*8.00/100)</f>
        <v/>
      </c>
    </row>
    <row r="17">
      <c r="A17" s="1" t="n">
        <v>14</v>
      </c>
      <c r="B17" s="1" t="n">
        <v>10231031</v>
      </c>
      <c r="C17" s="2" t="inlineStr">
        <is>
          <t>DHIYA AFIFAH</t>
        </is>
      </c>
      <c r="D17" s="1" t="n"/>
      <c r="E17" s="1" t="n"/>
      <c r="F17" s="1" t="n"/>
      <c r="G17" s="1" t="n"/>
      <c r="H17" s="1" t="n"/>
      <c r="I17" s="1" t="n"/>
      <c r="J17" s="1" t="n">
        <v>96</v>
      </c>
      <c r="K17" s="1" t="n">
        <v>90.8</v>
      </c>
      <c r="L17" s="1" t="n">
        <v>88</v>
      </c>
      <c r="M17" s="1" t="n">
        <v>100</v>
      </c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3">
        <f>SUM(D17*5.00/100,E17*5.00/100,F17*5.00/100,G17*4.00/100,H17*4.00/100,I17*4.00/100,J17*6.00/100,K17*7.00/100,L17*4.00/100,M17*3.00/100,N17*3.00/100,O17*3.00/100,P17*3.00/100,Q17*3.00/100,R17*3.00/100,S17*3.00/100,T17*4.00/100,U17*6.00/100,V17*6.00/100,W17*7.00/100,X17*4.00/100,Y17*8.00/100)</f>
        <v/>
      </c>
    </row>
    <row r="18">
      <c r="A18" s="1" t="n">
        <v>15</v>
      </c>
      <c r="B18" s="1" t="n">
        <v>10231035</v>
      </c>
      <c r="C18" s="2" t="inlineStr">
        <is>
          <t>Dzaky Rasyiq Zuhair</t>
        </is>
      </c>
      <c r="D18" s="1" t="n"/>
      <c r="E18" s="1" t="n"/>
      <c r="F18" s="1" t="n"/>
      <c r="G18" s="1" t="n"/>
      <c r="H18" s="1" t="n"/>
      <c r="I18" s="1" t="n"/>
      <c r="J18" s="1" t="n">
        <v>96</v>
      </c>
      <c r="K18" s="1" t="n">
        <v>93.3</v>
      </c>
      <c r="L18" s="1" t="n">
        <v>88</v>
      </c>
      <c r="M18" s="1" t="n">
        <v>100</v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3">
        <f>SUM(D18*5.00/100,E18*5.00/100,F18*5.00/100,G18*4.00/100,H18*4.00/100,I18*4.00/100,J18*6.00/100,K18*7.00/100,L18*4.00/100,M18*3.00/100,N18*3.00/100,O18*3.00/100,P18*3.00/100,Q18*3.00/100,R18*3.00/100,S18*3.00/100,T18*4.00/100,U18*6.00/100,V18*6.00/100,W18*7.00/100,X18*4.00/100,Y18*8.00/100)</f>
        <v/>
      </c>
    </row>
    <row r="19">
      <c r="A19" s="1" t="n">
        <v>16</v>
      </c>
      <c r="B19" s="1" t="n">
        <v>10231039</v>
      </c>
      <c r="C19" s="2" t="inlineStr">
        <is>
          <t>Gabriel Karmen Sanggalangi</t>
        </is>
      </c>
      <c r="D19" s="1" t="n"/>
      <c r="E19" s="1" t="n"/>
      <c r="F19" s="1" t="n"/>
      <c r="G19" s="1" t="n"/>
      <c r="H19" s="1" t="n"/>
      <c r="I19" s="1" t="n"/>
      <c r="J19" s="1" t="n">
        <v>96</v>
      </c>
      <c r="K19" s="1" t="n">
        <v>93.3</v>
      </c>
      <c r="L19" s="1" t="n">
        <v>88</v>
      </c>
      <c r="M19" s="1" t="n">
        <v>100</v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3">
        <f>SUM(D19*5.00/100,E19*5.00/100,F19*5.00/100,G19*4.00/100,H19*4.00/100,I19*4.00/100,J19*6.00/100,K19*7.00/100,L19*4.00/100,M19*3.00/100,N19*3.00/100,O19*3.00/100,P19*3.00/100,Q19*3.00/100,R19*3.00/100,S19*3.00/100,T19*4.00/100,U19*6.00/100,V19*6.00/100,W19*7.00/100,X19*4.00/100,Y19*8.00/100)</f>
        <v/>
      </c>
    </row>
    <row r="20">
      <c r="A20" s="1" t="n">
        <v>17</v>
      </c>
      <c r="B20" s="1" t="n">
        <v>10231041</v>
      </c>
      <c r="C20" s="2" t="inlineStr">
        <is>
          <t>Ika Agustin Wulandari</t>
        </is>
      </c>
      <c r="D20" s="1" t="n"/>
      <c r="E20" s="1" t="n"/>
      <c r="F20" s="1" t="n"/>
      <c r="G20" s="1" t="n"/>
      <c r="H20" s="1" t="n"/>
      <c r="I20" s="1" t="n"/>
      <c r="J20" s="1" t="n">
        <v>96</v>
      </c>
      <c r="K20" s="1" t="n">
        <v>93.3</v>
      </c>
      <c r="L20" s="1" t="n">
        <v>88</v>
      </c>
      <c r="M20" s="1" t="n">
        <v>100</v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3">
        <f>SUM(D20*5.00/100,E20*5.00/100,F20*5.00/100,G20*4.00/100,H20*4.00/100,I20*4.00/100,J20*6.00/100,K20*7.00/100,L20*4.00/100,M20*3.00/100,N20*3.00/100,O20*3.00/100,P20*3.00/100,Q20*3.00/100,R20*3.00/100,S20*3.00/100,T20*4.00/100,U20*6.00/100,V20*6.00/100,W20*7.00/100,X20*4.00/100,Y20*8.00/100)</f>
        <v/>
      </c>
    </row>
    <row r="21">
      <c r="A21" s="1" t="n">
        <v>18</v>
      </c>
      <c r="B21" s="1" t="n">
        <v>10231043</v>
      </c>
      <c r="C21" s="2" t="inlineStr">
        <is>
          <t>Incha Raghil</t>
        </is>
      </c>
      <c r="D21" s="1" t="n"/>
      <c r="E21" s="1" t="n"/>
      <c r="F21" s="1" t="n"/>
      <c r="G21" s="1" t="n"/>
      <c r="H21" s="1" t="n"/>
      <c r="I21" s="1" t="n"/>
      <c r="J21" s="1" t="n">
        <v>80</v>
      </c>
      <c r="K21" s="1" t="n">
        <v>91</v>
      </c>
      <c r="L21" s="1" t="n">
        <v>88</v>
      </c>
      <c r="M21" s="1" t="n">
        <v>100</v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3">
        <f>SUM(D21*5.00/100,E21*5.00/100,F21*5.00/100,G21*4.00/100,H21*4.00/100,I21*4.00/100,J21*6.00/100,K21*7.00/100,L21*4.00/100,M21*3.00/100,N21*3.00/100,O21*3.00/100,P21*3.00/100,Q21*3.00/100,R21*3.00/100,S21*3.00/100,T21*4.00/100,U21*6.00/100,V21*6.00/100,W21*7.00/100,X21*4.00/100,Y21*8.00/100)</f>
        <v/>
      </c>
    </row>
    <row r="22">
      <c r="A22" s="1" t="n">
        <v>19</v>
      </c>
      <c r="B22" s="1" t="n">
        <v>10231045</v>
      </c>
      <c r="C22" s="2" t="inlineStr">
        <is>
          <t>Irfan Zaki Riyanto</t>
        </is>
      </c>
      <c r="D22" s="1" t="n"/>
      <c r="E22" s="1" t="n"/>
      <c r="F22" s="1" t="n"/>
      <c r="G22" s="1" t="n"/>
      <c r="H22" s="1" t="n"/>
      <c r="I22" s="1" t="n"/>
      <c r="J22" s="1" t="n">
        <v>80</v>
      </c>
      <c r="K22" s="1" t="n">
        <v>91</v>
      </c>
      <c r="L22" s="1" t="n">
        <v>88</v>
      </c>
      <c r="M22" s="1" t="n">
        <v>100</v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3">
        <f>SUM(D22*5.00/100,E22*5.00/100,F22*5.00/100,G22*4.00/100,H22*4.00/100,I22*4.00/100,J22*6.00/100,K22*7.00/100,L22*4.00/100,M22*3.00/100,N22*3.00/100,O22*3.00/100,P22*3.00/100,Q22*3.00/100,R22*3.00/100,S22*3.00/100,T22*4.00/100,U22*6.00/100,V22*6.00/100,W22*7.00/100,X22*4.00/100,Y22*8.00/100)</f>
        <v/>
      </c>
    </row>
    <row r="23">
      <c r="A23" s="1" t="n">
        <v>20</v>
      </c>
      <c r="B23" s="1" t="n">
        <v>10231047</v>
      </c>
      <c r="C23" s="2" t="inlineStr">
        <is>
          <t>Jonathan Cristopher Jetro</t>
        </is>
      </c>
      <c r="D23" s="1" t="n"/>
      <c r="E23" s="1" t="n"/>
      <c r="F23" s="1" t="n"/>
      <c r="G23" s="1" t="n"/>
      <c r="H23" s="1" t="n"/>
      <c r="I23" s="1" t="n"/>
      <c r="J23" s="1" t="n">
        <v>80</v>
      </c>
      <c r="K23" s="1" t="n">
        <v>91</v>
      </c>
      <c r="L23" s="1" t="n">
        <v>88</v>
      </c>
      <c r="M23" s="1" t="n">
        <v>100</v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3">
        <f>SUM(D23*5.00/100,E23*5.00/100,F23*5.00/100,G23*4.00/100,H23*4.00/100,I23*4.00/100,J23*6.00/100,K23*7.00/100,L23*4.00/100,M23*3.00/100,N23*3.00/100,O23*3.00/100,P23*3.00/100,Q23*3.00/100,R23*3.00/100,S23*3.00/100,T23*4.00/100,U23*6.00/100,V23*6.00/100,W23*7.00/100,X23*4.00/100,Y23*8.00/100)</f>
        <v/>
      </c>
    </row>
    <row r="24">
      <c r="A24" s="1" t="n">
        <v>21</v>
      </c>
      <c r="B24" s="1" t="n">
        <v>10231048</v>
      </c>
      <c r="C24" s="2" t="inlineStr">
        <is>
          <t>Jonathan Joseph Yudita Tampubolon</t>
        </is>
      </c>
      <c r="D24" s="1" t="n"/>
      <c r="E24" s="1" t="n"/>
      <c r="F24" s="1" t="n"/>
      <c r="G24" s="1" t="n"/>
      <c r="H24" s="1" t="n"/>
      <c r="I24" s="1" t="n"/>
      <c r="J24" s="1" t="n">
        <v>80</v>
      </c>
      <c r="K24" s="1" t="n">
        <v>88.5</v>
      </c>
      <c r="L24" s="1" t="n">
        <v>88</v>
      </c>
      <c r="M24" s="1" t="n">
        <v>100</v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3">
        <f>SUM(D24*5.00/100,E24*5.00/100,F24*5.00/100,G24*4.00/100,H24*4.00/100,I24*4.00/100,J24*6.00/100,K24*7.00/100,L24*4.00/100,M24*3.00/100,N24*3.00/100,O24*3.00/100,P24*3.00/100,Q24*3.00/100,R24*3.00/100,S24*3.00/100,T24*4.00/100,U24*6.00/100,V24*6.00/100,W24*7.00/100,X24*4.00/100,Y24*8.00/100)</f>
        <v/>
      </c>
    </row>
    <row r="25">
      <c r="A25" s="1" t="n">
        <v>22</v>
      </c>
      <c r="B25" s="1" t="n">
        <v>10231049</v>
      </c>
      <c r="C25" s="2" t="inlineStr">
        <is>
          <t>Khanza Nabila Tsabita</t>
        </is>
      </c>
      <c r="D25" s="1" t="n"/>
      <c r="E25" s="1" t="n">
        <v>90</v>
      </c>
      <c r="F25" s="1" t="n">
        <v>85</v>
      </c>
      <c r="G25" s="1" t="n"/>
      <c r="H25" s="1" t="n">
        <v>93</v>
      </c>
      <c r="I25" s="1" t="n">
        <v>91</v>
      </c>
      <c r="J25" s="1" t="n">
        <v>96</v>
      </c>
      <c r="K25" s="1" t="n">
        <v>85.8</v>
      </c>
      <c r="L25" s="1" t="n">
        <v>96</v>
      </c>
      <c r="M25" s="1" t="n">
        <v>90</v>
      </c>
      <c r="N25" s="1" t="n"/>
      <c r="O25" s="1" t="n">
        <v>94</v>
      </c>
      <c r="P25" s="1" t="n">
        <v>88</v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3">
        <f>SUM(D25*5.00/100,E25*5.00/100,F25*5.00/100,G25*4.00/100,H25*4.00/100,I25*4.00/100,J25*6.00/100,K25*7.00/100,L25*4.00/100,M25*3.00/100,N25*3.00/100,O25*3.00/100,P25*3.00/100,Q25*3.00/100,R25*3.00/100,S25*3.00/100,T25*4.00/100,U25*6.00/100,V25*6.00/100,W25*7.00/100,X25*4.00/100,Y25*8.00/100)</f>
        <v/>
      </c>
    </row>
    <row r="26">
      <c r="A26" s="1" t="n">
        <v>23</v>
      </c>
      <c r="B26" s="1" t="n">
        <v>10231051</v>
      </c>
      <c r="C26" s="2" t="inlineStr">
        <is>
          <t>Maulana Malik Ibrahim</t>
        </is>
      </c>
      <c r="D26" s="1" t="n"/>
      <c r="E26" s="1" t="n">
        <v>90</v>
      </c>
      <c r="F26" s="1" t="n">
        <v>94</v>
      </c>
      <c r="G26" s="1" t="n"/>
      <c r="H26" s="1" t="n">
        <v>93</v>
      </c>
      <c r="I26" s="1" t="n">
        <v>87</v>
      </c>
      <c r="J26" s="1" t="n">
        <v>96</v>
      </c>
      <c r="K26" s="1" t="n">
        <v>95.8</v>
      </c>
      <c r="L26" s="1" t="n">
        <v>96</v>
      </c>
      <c r="M26" s="1" t="n">
        <v>90</v>
      </c>
      <c r="N26" s="1" t="n"/>
      <c r="O26" s="1" t="n">
        <v>94</v>
      </c>
      <c r="P26" s="1" t="n">
        <v>86</v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3">
        <f>SUM(D26*5.00/100,E26*5.00/100,F26*5.00/100,G26*4.00/100,H26*4.00/100,I26*4.00/100,J26*6.00/100,K26*7.00/100,L26*4.00/100,M26*3.00/100,N26*3.00/100,O26*3.00/100,P26*3.00/100,Q26*3.00/100,R26*3.00/100,S26*3.00/100,T26*4.00/100,U26*6.00/100,V26*6.00/100,W26*7.00/100,X26*4.00/100,Y26*8.00/100)</f>
        <v/>
      </c>
    </row>
    <row r="27">
      <c r="A27" s="1" t="n">
        <v>24</v>
      </c>
      <c r="B27" s="1" t="n">
        <v>10231053</v>
      </c>
      <c r="C27" s="2" t="inlineStr">
        <is>
          <t>Micka Mayulia Utama</t>
        </is>
      </c>
      <c r="D27" s="1" t="n"/>
      <c r="E27" s="1" t="n">
        <v>90</v>
      </c>
      <c r="F27" s="1" t="n">
        <v>83</v>
      </c>
      <c r="G27" s="1" t="n"/>
      <c r="H27" s="1" t="n">
        <v>93</v>
      </c>
      <c r="I27" s="1" t="n">
        <v>76</v>
      </c>
      <c r="J27" s="1" t="n">
        <v>96</v>
      </c>
      <c r="K27" s="1" t="n">
        <v>93.3</v>
      </c>
      <c r="L27" s="1" t="n">
        <v>96</v>
      </c>
      <c r="M27" s="1" t="n">
        <v>90</v>
      </c>
      <c r="N27" s="1" t="n"/>
      <c r="O27" s="1" t="n">
        <v>94</v>
      </c>
      <c r="P27" s="1" t="n">
        <v>87</v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3">
        <f>SUM(D27*5.00/100,E27*5.00/100,F27*5.00/100,G27*4.00/100,H27*4.00/100,I27*4.00/100,J27*6.00/100,K27*7.00/100,L27*4.00/100,M27*3.00/100,N27*3.00/100,O27*3.00/100,P27*3.00/100,Q27*3.00/100,R27*3.00/100,S27*3.00/100,T27*4.00/100,U27*6.00/100,V27*6.00/100,W27*7.00/100,X27*4.00/100,Y27*8.00/100)</f>
        <v/>
      </c>
    </row>
    <row r="28">
      <c r="A28" s="1" t="n">
        <v>25</v>
      </c>
      <c r="B28" s="1" t="n">
        <v>10231057</v>
      </c>
      <c r="C28" s="2" t="inlineStr">
        <is>
          <t>Muhammad Aqila Ardhi</t>
        </is>
      </c>
      <c r="D28" s="1" t="n"/>
      <c r="E28" s="1" t="n">
        <v>90</v>
      </c>
      <c r="F28" s="1" t="n">
        <v>74</v>
      </c>
      <c r="G28" s="1" t="n"/>
      <c r="H28" s="1" t="n">
        <v>93</v>
      </c>
      <c r="I28" s="1" t="n">
        <v>83</v>
      </c>
      <c r="J28" s="1" t="n">
        <v>96</v>
      </c>
      <c r="K28" s="1" t="n">
        <v>88.3</v>
      </c>
      <c r="L28" s="1" t="n">
        <v>96</v>
      </c>
      <c r="M28" s="1" t="n">
        <v>90</v>
      </c>
      <c r="N28" s="1" t="n"/>
      <c r="O28" s="1" t="n">
        <v>94</v>
      </c>
      <c r="P28" s="1" t="n">
        <v>87</v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3">
        <f>SUM(D28*5.00/100,E28*5.00/100,F28*5.00/100,G28*4.00/100,H28*4.00/100,I28*4.00/100,J28*6.00/100,K28*7.00/100,L28*4.00/100,M28*3.00/100,N28*3.00/100,O28*3.00/100,P28*3.00/100,Q28*3.00/100,R28*3.00/100,S28*3.00/100,T28*4.00/100,U28*6.00/100,V28*6.00/100,W28*7.00/100,X28*4.00/100,Y28*8.00/100)</f>
        <v/>
      </c>
    </row>
    <row r="29">
      <c r="A29" s="1" t="n">
        <v>26</v>
      </c>
      <c r="B29" s="1" t="n">
        <v>10231059</v>
      </c>
      <c r="C29" s="2" t="inlineStr">
        <is>
          <t>Muhammad Athala Romero</t>
        </is>
      </c>
      <c r="D29" s="1" t="n"/>
      <c r="E29" s="1" t="n"/>
      <c r="F29" s="1" t="n"/>
      <c r="G29" s="1" t="n"/>
      <c r="H29" s="1" t="n"/>
      <c r="I29" s="1" t="n"/>
      <c r="J29" s="1" t="n">
        <v>100</v>
      </c>
      <c r="K29" s="1" t="n">
        <v>99</v>
      </c>
      <c r="L29" s="1" t="n">
        <v>96</v>
      </c>
      <c r="M29" s="1" t="n">
        <v>100</v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3">
        <f>SUM(D29*5.00/100,E29*5.00/100,F29*5.00/100,G29*4.00/100,H29*4.00/100,I29*4.00/100,J29*6.00/100,K29*7.00/100,L29*4.00/100,M29*3.00/100,N29*3.00/100,O29*3.00/100,P29*3.00/100,Q29*3.00/100,R29*3.00/100,S29*3.00/100,T29*4.00/100,U29*6.00/100,V29*6.00/100,W29*7.00/100,X29*4.00/100,Y29*8.00/100)</f>
        <v/>
      </c>
    </row>
    <row r="30">
      <c r="A30" s="1" t="n">
        <v>27</v>
      </c>
      <c r="B30" s="1" t="n">
        <v>10231061</v>
      </c>
      <c r="C30" s="2" t="inlineStr">
        <is>
          <t>Muhammad Bagas Setiawan</t>
        </is>
      </c>
      <c r="D30" s="1" t="n"/>
      <c r="E30" s="1" t="n"/>
      <c r="F30" s="1" t="n"/>
      <c r="G30" s="1" t="n"/>
      <c r="H30" s="1" t="n"/>
      <c r="I30" s="1" t="n"/>
      <c r="J30" s="1" t="n">
        <v>100</v>
      </c>
      <c r="K30" s="1" t="n">
        <v>90</v>
      </c>
      <c r="L30" s="1" t="n">
        <v>96</v>
      </c>
      <c r="M30" s="1" t="n">
        <v>100</v>
      </c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3">
        <f>SUM(D30*5.00/100,E30*5.00/100,F30*5.00/100,G30*4.00/100,H30*4.00/100,I30*4.00/100,J30*6.00/100,K30*7.00/100,L30*4.00/100,M30*3.00/100,N30*3.00/100,O30*3.00/100,P30*3.00/100,Q30*3.00/100,R30*3.00/100,S30*3.00/100,T30*4.00/100,U30*6.00/100,V30*6.00/100,W30*7.00/100,X30*4.00/100,Y30*8.00/100)</f>
        <v/>
      </c>
    </row>
    <row r="31">
      <c r="A31" s="1" t="n">
        <v>28</v>
      </c>
      <c r="B31" s="1" t="n">
        <v>10231063</v>
      </c>
      <c r="C31" s="2" t="inlineStr">
        <is>
          <t>Muhammad Fikri Haikal Ariadma</t>
        </is>
      </c>
      <c r="D31" s="1" t="n"/>
      <c r="E31" s="1" t="n"/>
      <c r="F31" s="1" t="n"/>
      <c r="G31" s="1" t="n"/>
      <c r="H31" s="1" t="n"/>
      <c r="I31" s="1" t="n"/>
      <c r="J31" s="1" t="n">
        <v>100</v>
      </c>
      <c r="K31" s="1" t="n">
        <v>99</v>
      </c>
      <c r="L31" s="1" t="n">
        <v>96</v>
      </c>
      <c r="M31" s="1" t="n">
        <v>100</v>
      </c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3">
        <f>SUM(D31*5.00/100,E31*5.00/100,F31*5.00/100,G31*4.00/100,H31*4.00/100,I31*4.00/100,J31*6.00/100,K31*7.00/100,L31*4.00/100,M31*3.00/100,N31*3.00/100,O31*3.00/100,P31*3.00/100,Q31*3.00/100,R31*3.00/100,S31*3.00/100,T31*4.00/100,U31*6.00/100,V31*6.00/100,W31*7.00/100,X31*4.00/100,Y31*8.00/100)</f>
        <v/>
      </c>
    </row>
    <row r="32">
      <c r="A32" s="1" t="n">
        <v>29</v>
      </c>
      <c r="B32" s="1" t="n">
        <v>10231067</v>
      </c>
      <c r="C32" s="2" t="inlineStr">
        <is>
          <t>Nanda Aulia Putri</t>
        </is>
      </c>
      <c r="D32" s="1" t="n"/>
      <c r="E32" s="1" t="n"/>
      <c r="F32" s="1" t="n"/>
      <c r="G32" s="1" t="n"/>
      <c r="H32" s="1" t="n"/>
      <c r="I32" s="1" t="n"/>
      <c r="J32" s="1" t="n">
        <v>100</v>
      </c>
      <c r="K32" s="1" t="n">
        <v>97.5</v>
      </c>
      <c r="L32" s="1" t="n">
        <v>96</v>
      </c>
      <c r="M32" s="1" t="n">
        <v>100</v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3">
        <f>SUM(D32*5.00/100,E32*5.00/100,F32*5.00/100,G32*4.00/100,H32*4.00/100,I32*4.00/100,J32*6.00/100,K32*7.00/100,L32*4.00/100,M32*3.00/100,N32*3.00/100,O32*3.00/100,P32*3.00/100,Q32*3.00/100,R32*3.00/100,S32*3.00/100,T32*4.00/100,U32*6.00/100,V32*6.00/100,W32*7.00/100,X32*4.00/100,Y32*8.00/100)</f>
        <v/>
      </c>
    </row>
    <row r="33">
      <c r="A33" s="1" t="n">
        <v>30</v>
      </c>
      <c r="B33" s="1" t="n">
        <v>10231069</v>
      </c>
      <c r="C33" s="2" t="inlineStr">
        <is>
          <t>Nicholas Christian Samuel Manurung</t>
        </is>
      </c>
      <c r="D33" s="1" t="n"/>
      <c r="E33" s="1" t="n"/>
      <c r="F33" s="1" t="n"/>
      <c r="G33" s="1" t="n"/>
      <c r="H33" s="1" t="n"/>
      <c r="I33" s="1" t="n"/>
      <c r="J33" s="1" t="n">
        <v>96</v>
      </c>
      <c r="K33" s="1" t="n">
        <v>94.3</v>
      </c>
      <c r="L33" s="1" t="n">
        <v>92</v>
      </c>
      <c r="M33" s="1" t="n">
        <v>100</v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3">
        <f>SUM(D33*5.00/100,E33*5.00/100,F33*5.00/100,G33*4.00/100,H33*4.00/100,I33*4.00/100,J33*6.00/100,K33*7.00/100,L33*4.00/100,M33*3.00/100,N33*3.00/100,O33*3.00/100,P33*3.00/100,Q33*3.00/100,R33*3.00/100,S33*3.00/100,T33*4.00/100,U33*6.00/100,V33*6.00/100,W33*7.00/100,X33*4.00/100,Y33*8.00/100)</f>
        <v/>
      </c>
    </row>
    <row r="34">
      <c r="A34" s="1" t="n">
        <v>31</v>
      </c>
      <c r="B34" s="1" t="n">
        <v>10231073</v>
      </c>
      <c r="C34" s="2" t="inlineStr">
        <is>
          <t>Pangeran Borneo Silaen</t>
        </is>
      </c>
      <c r="D34" s="1" t="n"/>
      <c r="E34" s="1" t="n"/>
      <c r="F34" s="1" t="n"/>
      <c r="G34" s="1" t="n"/>
      <c r="H34" s="1" t="n"/>
      <c r="I34" s="1" t="n"/>
      <c r="J34" s="1" t="n">
        <v>96</v>
      </c>
      <c r="K34" s="1" t="n">
        <v>96.8</v>
      </c>
      <c r="L34" s="1" t="n">
        <v>92</v>
      </c>
      <c r="M34" s="1" t="n">
        <v>100</v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3">
        <f>SUM(D34*5.00/100,E34*5.00/100,F34*5.00/100,G34*4.00/100,H34*4.00/100,I34*4.00/100,J34*6.00/100,K34*7.00/100,L34*4.00/100,M34*3.00/100,N34*3.00/100,O34*3.00/100,P34*3.00/100,Q34*3.00/100,R34*3.00/100,S34*3.00/100,T34*4.00/100,U34*6.00/100,V34*6.00/100,W34*7.00/100,X34*4.00/100,Y34*8.00/100)</f>
        <v/>
      </c>
    </row>
    <row r="35">
      <c r="A35" s="1" t="n">
        <v>32</v>
      </c>
      <c r="B35" s="1" t="n">
        <v>10231077</v>
      </c>
      <c r="C35" s="2" t="inlineStr">
        <is>
          <t>Raisha Alika Irwandira</t>
        </is>
      </c>
      <c r="D35" s="1" t="n"/>
      <c r="E35" s="1" t="n"/>
      <c r="F35" s="1" t="n"/>
      <c r="G35" s="1" t="n"/>
      <c r="H35" s="1" t="n"/>
      <c r="I35" s="1" t="n"/>
      <c r="J35" s="1" t="n">
        <v>96</v>
      </c>
      <c r="K35" s="1" t="n">
        <v>94.3</v>
      </c>
      <c r="L35" s="1" t="n">
        <v>92</v>
      </c>
      <c r="M35" s="1" t="n">
        <v>100</v>
      </c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3">
        <f>SUM(D35*5.00/100,E35*5.00/100,F35*5.00/100,G35*4.00/100,H35*4.00/100,I35*4.00/100,J35*6.00/100,K35*7.00/100,L35*4.00/100,M35*3.00/100,N35*3.00/100,O35*3.00/100,P35*3.00/100,Q35*3.00/100,R35*3.00/100,S35*3.00/100,T35*4.00/100,U35*6.00/100,V35*6.00/100,W35*7.00/100,X35*4.00/100,Y35*8.00/100)</f>
        <v/>
      </c>
    </row>
    <row r="36">
      <c r="A36" s="1" t="n">
        <v>33</v>
      </c>
      <c r="B36" s="1" t="n">
        <v>10231079</v>
      </c>
      <c r="C36" s="2" t="inlineStr">
        <is>
          <t>Rani Ayu Dewi</t>
        </is>
      </c>
      <c r="D36" s="1" t="n"/>
      <c r="E36" s="1" t="n"/>
      <c r="F36" s="1" t="n"/>
      <c r="G36" s="1" t="n"/>
      <c r="H36" s="1" t="n"/>
      <c r="I36" s="1" t="n"/>
      <c r="J36" s="1" t="n">
        <v>96</v>
      </c>
      <c r="K36" s="1" t="n">
        <v>96.8</v>
      </c>
      <c r="L36" s="1" t="n">
        <v>92</v>
      </c>
      <c r="M36" s="1" t="n">
        <v>100</v>
      </c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3">
        <f>SUM(D36*5.00/100,E36*5.00/100,F36*5.00/100,G36*4.00/100,H36*4.00/100,I36*4.00/100,J36*6.00/100,K36*7.00/100,L36*4.00/100,M36*3.00/100,N36*3.00/100,O36*3.00/100,P36*3.00/100,Q36*3.00/100,R36*3.00/100,S36*3.00/100,T36*4.00/100,U36*6.00/100,V36*6.00/100,W36*7.00/100,X36*4.00/100,Y36*8.00/100)</f>
        <v/>
      </c>
    </row>
    <row r="37">
      <c r="A37" s="1" t="n">
        <v>34</v>
      </c>
      <c r="B37" s="1" t="n">
        <v>10231081</v>
      </c>
      <c r="C37" s="2" t="inlineStr">
        <is>
          <t>Rendy Rifandi Kurnia</t>
        </is>
      </c>
      <c r="D37" s="1" t="n"/>
      <c r="E37" s="1" t="n"/>
      <c r="F37" s="1" t="n"/>
      <c r="G37" s="1" t="n"/>
      <c r="H37" s="1" t="n"/>
      <c r="I37" s="1" t="n"/>
      <c r="J37" s="1" t="n">
        <v>96</v>
      </c>
      <c r="K37" s="1" t="n">
        <v>90.8</v>
      </c>
      <c r="L37" s="1" t="n">
        <v>92</v>
      </c>
      <c r="M37" s="1" t="n">
        <v>95</v>
      </c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3">
        <f>SUM(D37*5.00/100,E37*5.00/100,F37*5.00/100,G37*4.00/100,H37*4.00/100,I37*4.00/100,J37*6.00/100,K37*7.00/100,L37*4.00/100,M37*3.00/100,N37*3.00/100,O37*3.00/100,P37*3.00/100,Q37*3.00/100,R37*3.00/100,S37*3.00/100,T37*4.00/100,U37*6.00/100,V37*6.00/100,W37*7.00/100,X37*4.00/100,Y37*8.00/100)</f>
        <v/>
      </c>
    </row>
    <row r="38">
      <c r="A38" s="1" t="n">
        <v>35</v>
      </c>
      <c r="B38" s="1" t="n">
        <v>10231083</v>
      </c>
      <c r="C38" s="2" t="inlineStr">
        <is>
          <t>Riska Fadlun Khairiyah Purba</t>
        </is>
      </c>
      <c r="D38" s="1" t="n"/>
      <c r="E38" s="1" t="n"/>
      <c r="F38" s="1" t="n"/>
      <c r="G38" s="1" t="n"/>
      <c r="H38" s="1" t="n"/>
      <c r="I38" s="1" t="n"/>
      <c r="J38" s="1" t="n">
        <v>96</v>
      </c>
      <c r="K38" s="1" t="n">
        <v>88.3</v>
      </c>
      <c r="L38" s="1" t="n">
        <v>92</v>
      </c>
      <c r="M38" s="1" t="n">
        <v>95</v>
      </c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3">
        <f>SUM(D38*5.00/100,E38*5.00/100,F38*5.00/100,G38*4.00/100,H38*4.00/100,I38*4.00/100,J38*6.00/100,K38*7.00/100,L38*4.00/100,M38*3.00/100,N38*3.00/100,O38*3.00/100,P38*3.00/100,Q38*3.00/100,R38*3.00/100,S38*3.00/100,T38*4.00/100,U38*6.00/100,V38*6.00/100,W38*7.00/100,X38*4.00/100,Y38*8.00/100)</f>
        <v/>
      </c>
    </row>
    <row r="39">
      <c r="A39" s="1" t="n">
        <v>36</v>
      </c>
      <c r="B39" s="1" t="n">
        <v>10231085</v>
      </c>
      <c r="C39" s="2" t="inlineStr">
        <is>
          <t>RIZKI ABDUL AZIZ</t>
        </is>
      </c>
      <c r="D39" s="1" t="n"/>
      <c r="E39" s="1" t="n"/>
      <c r="F39" s="1" t="n"/>
      <c r="G39" s="1" t="n"/>
      <c r="H39" s="1" t="n"/>
      <c r="I39" s="1" t="n"/>
      <c r="J39" s="1" t="n">
        <v>96</v>
      </c>
      <c r="K39" s="1" t="n">
        <v>93.3</v>
      </c>
      <c r="L39" s="1" t="n">
        <v>92</v>
      </c>
      <c r="M39" s="1" t="n">
        <v>95</v>
      </c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3">
        <f>SUM(D39*5.00/100,E39*5.00/100,F39*5.00/100,G39*4.00/100,H39*4.00/100,I39*4.00/100,J39*6.00/100,K39*7.00/100,L39*4.00/100,M39*3.00/100,N39*3.00/100,O39*3.00/100,P39*3.00/100,Q39*3.00/100,R39*3.00/100,S39*3.00/100,T39*4.00/100,U39*6.00/100,V39*6.00/100,W39*7.00/100,X39*4.00/100,Y39*8.00/100)</f>
        <v/>
      </c>
    </row>
    <row r="40">
      <c r="A40" s="1" t="n">
        <v>37</v>
      </c>
      <c r="B40" s="1" t="n">
        <v>10231087</v>
      </c>
      <c r="C40" s="2" t="inlineStr">
        <is>
          <t>Siti Nur Azizah Putri Awni</t>
        </is>
      </c>
      <c r="D40" s="1" t="n"/>
      <c r="E40" s="1" t="n"/>
      <c r="F40" s="1" t="n"/>
      <c r="G40" s="1" t="n"/>
      <c r="H40" s="1" t="n"/>
      <c r="I40" s="1" t="n"/>
      <c r="J40" s="1" t="n">
        <v>96</v>
      </c>
      <c r="K40" s="1" t="n">
        <v>95.8</v>
      </c>
      <c r="L40" s="1" t="n">
        <v>92</v>
      </c>
      <c r="M40" s="1" t="n">
        <v>95</v>
      </c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3">
        <f>SUM(D40*5.00/100,E40*5.00/100,F40*5.00/100,G40*4.00/100,H40*4.00/100,I40*4.00/100,J40*6.00/100,K40*7.00/100,L40*4.00/100,M40*3.00/100,N40*3.00/100,O40*3.00/100,P40*3.00/100,Q40*3.00/100,R40*3.00/100,S40*3.00/100,T40*4.00/100,U40*6.00/100,V40*6.00/100,W40*7.00/100,X40*4.00/100,Y40*8.00/100)</f>
        <v/>
      </c>
    </row>
    <row r="41">
      <c r="A41" s="1" t="n">
        <v>38</v>
      </c>
      <c r="B41" s="1" t="n">
        <v>10231088</v>
      </c>
      <c r="C41" s="2" t="inlineStr">
        <is>
          <t>Tiya Mitra Ayu Purwanti</t>
        </is>
      </c>
      <c r="D41" s="1" t="n"/>
      <c r="E41" s="1" t="n"/>
      <c r="F41" s="1" t="n"/>
      <c r="G41" s="1" t="n"/>
      <c r="H41" s="1" t="n"/>
      <c r="I41" s="1" t="n"/>
      <c r="J41" s="1" t="n">
        <v>92</v>
      </c>
      <c r="K41" s="1" t="n">
        <v>88.09999999999999</v>
      </c>
      <c r="L41" s="1" t="n">
        <v>96</v>
      </c>
      <c r="M41" s="1" t="n">
        <v>100</v>
      </c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3">
        <f>SUM(D41*5.00/100,E41*5.00/100,F41*5.00/100,G41*4.00/100,H41*4.00/100,I41*4.00/100,J41*6.00/100,K41*7.00/100,L41*4.00/100,M41*3.00/100,N41*3.00/100,O41*3.00/100,P41*3.00/100,Q41*3.00/100,R41*3.00/100,S41*3.00/100,T41*4.00/100,U41*6.00/100,V41*6.00/100,W41*7.00/100,X41*4.00/100,Y41*8.00/100)</f>
        <v/>
      </c>
    </row>
    <row r="42">
      <c r="A42" s="1" t="n">
        <v>39</v>
      </c>
      <c r="B42" s="1" t="n">
        <v>10231089</v>
      </c>
      <c r="C42" s="2" t="inlineStr">
        <is>
          <t>Varrel Kaleb Ropard Pasaribu</t>
        </is>
      </c>
      <c r="D42" s="1" t="n"/>
      <c r="E42" s="1" t="n"/>
      <c r="F42" s="1" t="n"/>
      <c r="G42" s="1" t="n"/>
      <c r="H42" s="1" t="n"/>
      <c r="I42" s="1" t="n"/>
      <c r="J42" s="1" t="n">
        <v>96</v>
      </c>
      <c r="K42" s="1" t="n">
        <v>96.8</v>
      </c>
      <c r="L42" s="1" t="n">
        <v>92</v>
      </c>
      <c r="M42" s="1" t="n">
        <v>100</v>
      </c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3">
        <f>SUM(D42*5.00/100,E42*5.00/100,F42*5.00/100,G42*4.00/100,H42*4.00/100,I42*4.00/100,J42*6.00/100,K42*7.00/100,L42*4.00/100,M42*3.00/100,N42*3.00/100,O42*3.00/100,P42*3.00/100,Q42*3.00/100,R42*3.00/100,S42*3.00/100,T42*4.00/100,U42*6.00/100,V42*6.00/100,W42*7.00/100,X42*4.00/100,Y42*8.00/100)</f>
        <v/>
      </c>
    </row>
    <row r="43">
      <c r="A43" s="1" t="n">
        <v>40</v>
      </c>
      <c r="B43" s="1" t="n">
        <v>10231091</v>
      </c>
      <c r="C43" s="2" t="inlineStr">
        <is>
          <t>Yosan Pratiwi</t>
        </is>
      </c>
      <c r="D43" s="1" t="n"/>
      <c r="E43" s="1" t="n"/>
      <c r="F43" s="1" t="n"/>
      <c r="G43" s="1" t="n"/>
      <c r="H43" s="1" t="n"/>
      <c r="I43" s="1" t="n"/>
      <c r="J43" s="1" t="n">
        <v>96</v>
      </c>
      <c r="K43" s="1" t="n">
        <v>87.8</v>
      </c>
      <c r="L43" s="1" t="n">
        <v>96</v>
      </c>
      <c r="M43" s="1" t="n">
        <v>100</v>
      </c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3">
        <f>SUM(D43*5.00/100,E43*5.00/100,F43*5.00/100,G43*4.00/100,H43*4.00/100,I43*4.00/100,J43*6.00/100,K43*7.00/100,L43*4.00/100,M43*3.00/100,N43*3.00/100,O43*3.00/100,P43*3.00/100,Q43*3.00/100,R43*3.00/100,S43*3.00/100,T43*4.00/100,U43*6.00/100,V43*6.00/100,W43*7.00/100,X43*4.00/100,Y43*8.00/100)</f>
        <v/>
      </c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0" password="8B6E"/>
  <mergeCells count="1">
    <mergeCell ref="A1:Z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1" showRowColHeaders="1" tabSelected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:H3"/>
    </sheetView>
  </sheetViews>
  <sheetFormatPr baseColWidth="8" defaultRowHeight="14.4" outlineLevelRow="0"/>
  <cols>
    <col width="5" customWidth="1" style="7" min="1" max="1"/>
    <col width="12" customWidth="1" style="7" min="2" max="2"/>
    <col width="30" customWidth="1" style="7" min="3" max="3"/>
    <col width="15" customWidth="1" style="7" min="4" max="4"/>
    <col width="12" customWidth="1" style="7" min="5" max="5"/>
    <col width="12" customWidth="1" style="7" min="6" max="6"/>
    <col width="12" customWidth="1" style="7" min="7" max="7"/>
    <col width="10" customWidth="1" style="7" min="8" max="8"/>
  </cols>
  <sheetData>
    <row r="1" ht="25" customHeight="1" s="7">
      <c r="A1" s="4" t="inlineStr">
        <is>
          <t>RPS: Komputasi Awan - SI2514027 | Kelas: A</t>
        </is>
      </c>
      <c r="B1" s="9" t="n"/>
      <c r="C1" s="9" t="n"/>
      <c r="D1" s="9" t="n"/>
      <c r="E1" s="9" t="n"/>
      <c r="F1" s="9" t="n"/>
      <c r="G1" s="9" t="n"/>
      <c r="H1" s="10" t="n"/>
    </row>
    <row r="2" ht="45" customHeight="1" s="7">
      <c r="A2" s="5" t="inlineStr">
        <is>
          <t>No</t>
        </is>
      </c>
      <c r="B2" s="5" t="inlineStr">
        <is>
          <t>NIM</t>
        </is>
      </c>
      <c r="C2" s="5" t="inlineStr">
        <is>
          <t>Nama Mahasiswa</t>
        </is>
      </c>
      <c r="D2" s="5" t="inlineStr">
        <is>
          <t>Ujian Praktik
(15%)</t>
        </is>
      </c>
      <c r="E2" s="5" t="inlineStr">
        <is>
          <t>Proyek
(35%)</t>
        </is>
      </c>
      <c r="F2" s="5" t="inlineStr">
        <is>
          <t>Performa
(15%)</t>
        </is>
      </c>
      <c r="G2" s="5" t="inlineStr">
        <is>
          <t>Portofolio
(35%)</t>
        </is>
      </c>
      <c r="H2" s="5" t="inlineStr">
        <is>
          <t>Total</t>
        </is>
      </c>
    </row>
    <row r="3" ht="20" customHeight="1" s="7">
      <c r="A3" s="6" t="inlineStr">
        <is>
          <t>no</t>
        </is>
      </c>
      <c r="B3" s="6" t="inlineStr">
        <is>
          <t>nim</t>
        </is>
      </c>
      <c r="C3" s="6" t="inlineStr">
        <is>
          <t>nama_mahasiswa</t>
        </is>
      </c>
      <c r="D3" s="6" t="n">
        <v>15</v>
      </c>
      <c r="E3" s="6" t="n">
        <v>35</v>
      </c>
      <c r="F3" s="6" t="n">
        <v>15</v>
      </c>
      <c r="G3" s="6" t="n">
        <v>35</v>
      </c>
      <c r="H3" s="6" t="inlineStr">
        <is>
          <t>total</t>
        </is>
      </c>
    </row>
    <row r="4">
      <c r="A4" s="1" t="n">
        <v>1</v>
      </c>
      <c r="B4" s="1" t="n">
        <v>10211048</v>
      </c>
      <c r="C4" s="2" t="inlineStr">
        <is>
          <t>Legi,Raymond Imanuel</t>
        </is>
      </c>
      <c r="D4" s="1">
        <f>SUM('Nilai Mahasiswa'!D4*5.00/100,'Nilai Mahasiswa'!G4*4.00/100,'Nilai Mahasiswa'!N4*3.00/100,'Nilai Mahasiswa'!Q4*3.00/100)</f>
        <v/>
      </c>
      <c r="E4" s="1">
        <f>SUM('Nilai Mahasiswa'!E4*5.00/100,'Nilai Mahasiswa'!H4*4.00/100,'Nilai Mahasiswa'!J4*6.00/100,'Nilai Mahasiswa'!O4*3.00/100,'Nilai Mahasiswa'!R4*3.00/100,'Nilai Mahasiswa'!T4*4.00/100,'Nilai Mahasiswa'!V4*6.00/100,'Nilai Mahasiswa'!X4*4.00/100)</f>
        <v/>
      </c>
      <c r="F4" s="1">
        <f>SUM('Nilai Mahasiswa'!F4*5.00/100,'Nilai Mahasiswa'!I4*4.00/100,'Nilai Mahasiswa'!P4*3.00/100,'Nilai Mahasiswa'!S4*3.00/100)</f>
        <v/>
      </c>
      <c r="G4" s="1">
        <f>SUM('Nilai Mahasiswa'!K4*7.00/100,'Nilai Mahasiswa'!L4*4.00/100,'Nilai Mahasiswa'!M4*3.00/100,'Nilai Mahasiswa'!U4*6.00/100,'Nilai Mahasiswa'!W4*7.00/100,'Nilai Mahasiswa'!Y4*8.00/100)</f>
        <v/>
      </c>
      <c r="H4" s="3">
        <f>SUM(D4:G4)</f>
        <v/>
      </c>
    </row>
    <row r="5">
      <c r="A5" s="1" t="n">
        <v>2</v>
      </c>
      <c r="B5" s="1" t="n">
        <v>10231003</v>
      </c>
      <c r="C5" s="2" t="inlineStr">
        <is>
          <t>Adam Ibnu ramadhan</t>
        </is>
      </c>
      <c r="D5" s="1">
        <f>SUM('Nilai Mahasiswa'!D5*5.00/100,'Nilai Mahasiswa'!G5*4.00/100,'Nilai Mahasiswa'!N5*3.00/100,'Nilai Mahasiswa'!Q5*3.00/100)</f>
        <v/>
      </c>
      <c r="E5" s="1">
        <f>SUM('Nilai Mahasiswa'!E5*5.00/100,'Nilai Mahasiswa'!H5*4.00/100,'Nilai Mahasiswa'!J5*6.00/100,'Nilai Mahasiswa'!O5*3.00/100,'Nilai Mahasiswa'!R5*3.00/100,'Nilai Mahasiswa'!T5*4.00/100,'Nilai Mahasiswa'!V5*6.00/100,'Nilai Mahasiswa'!X5*4.00/100)</f>
        <v/>
      </c>
      <c r="F5" s="1">
        <f>SUM('Nilai Mahasiswa'!F5*5.00/100,'Nilai Mahasiswa'!I5*4.00/100,'Nilai Mahasiswa'!P5*3.00/100,'Nilai Mahasiswa'!S5*3.00/100)</f>
        <v/>
      </c>
      <c r="G5" s="1">
        <f>SUM('Nilai Mahasiswa'!K5*7.00/100,'Nilai Mahasiswa'!L5*4.00/100,'Nilai Mahasiswa'!M5*3.00/100,'Nilai Mahasiswa'!U5*6.00/100,'Nilai Mahasiswa'!W5*7.00/100,'Nilai Mahasiswa'!Y5*8.00/100)</f>
        <v/>
      </c>
      <c r="H5" s="3">
        <f>SUM(D5:G5)</f>
        <v/>
      </c>
    </row>
    <row r="6">
      <c r="A6" s="1" t="n">
        <v>3</v>
      </c>
      <c r="B6" s="1" t="n">
        <v>10231005</v>
      </c>
      <c r="C6" s="2" t="inlineStr">
        <is>
          <t>Adhyasta firdaus</t>
        </is>
      </c>
      <c r="D6" s="1">
        <f>SUM('Nilai Mahasiswa'!D6*5.00/100,'Nilai Mahasiswa'!G6*4.00/100,'Nilai Mahasiswa'!N6*3.00/100,'Nilai Mahasiswa'!Q6*3.00/100)</f>
        <v/>
      </c>
      <c r="E6" s="1">
        <f>SUM('Nilai Mahasiswa'!E6*5.00/100,'Nilai Mahasiswa'!H6*4.00/100,'Nilai Mahasiswa'!J6*6.00/100,'Nilai Mahasiswa'!O6*3.00/100,'Nilai Mahasiswa'!R6*3.00/100,'Nilai Mahasiswa'!T6*4.00/100,'Nilai Mahasiswa'!V6*6.00/100,'Nilai Mahasiswa'!X6*4.00/100)</f>
        <v/>
      </c>
      <c r="F6" s="1">
        <f>SUM('Nilai Mahasiswa'!F6*5.00/100,'Nilai Mahasiswa'!I6*4.00/100,'Nilai Mahasiswa'!P6*3.00/100,'Nilai Mahasiswa'!S6*3.00/100)</f>
        <v/>
      </c>
      <c r="G6" s="1">
        <f>SUM('Nilai Mahasiswa'!K6*7.00/100,'Nilai Mahasiswa'!L6*4.00/100,'Nilai Mahasiswa'!M6*3.00/100,'Nilai Mahasiswa'!U6*6.00/100,'Nilai Mahasiswa'!W6*7.00/100,'Nilai Mahasiswa'!Y6*8.00/100)</f>
        <v/>
      </c>
      <c r="H6" s="3">
        <f>SUM(D6:G6)</f>
        <v/>
      </c>
    </row>
    <row r="7">
      <c r="A7" s="1" t="n">
        <v>4</v>
      </c>
      <c r="B7" s="1" t="n">
        <v>10231007</v>
      </c>
      <c r="C7" s="2" t="inlineStr">
        <is>
          <t>Adonia Azarya Tamalonggehe</t>
        </is>
      </c>
      <c r="D7" s="1">
        <f>SUM('Nilai Mahasiswa'!D7*5.00/100,'Nilai Mahasiswa'!G7*4.00/100,'Nilai Mahasiswa'!N7*3.00/100,'Nilai Mahasiswa'!Q7*3.00/100)</f>
        <v/>
      </c>
      <c r="E7" s="1">
        <f>SUM('Nilai Mahasiswa'!E7*5.00/100,'Nilai Mahasiswa'!H7*4.00/100,'Nilai Mahasiswa'!J7*6.00/100,'Nilai Mahasiswa'!O7*3.00/100,'Nilai Mahasiswa'!R7*3.00/100,'Nilai Mahasiswa'!T7*4.00/100,'Nilai Mahasiswa'!V7*6.00/100,'Nilai Mahasiswa'!X7*4.00/100)</f>
        <v/>
      </c>
      <c r="F7" s="1">
        <f>SUM('Nilai Mahasiswa'!F7*5.00/100,'Nilai Mahasiswa'!I7*4.00/100,'Nilai Mahasiswa'!P7*3.00/100,'Nilai Mahasiswa'!S7*3.00/100)</f>
        <v/>
      </c>
      <c r="G7" s="1">
        <f>SUM('Nilai Mahasiswa'!K7*7.00/100,'Nilai Mahasiswa'!L7*4.00/100,'Nilai Mahasiswa'!M7*3.00/100,'Nilai Mahasiswa'!U7*6.00/100,'Nilai Mahasiswa'!W7*7.00/100,'Nilai Mahasiswa'!Y7*8.00/100)</f>
        <v/>
      </c>
      <c r="H7" s="3">
        <f>SUM(D7:G7)</f>
        <v/>
      </c>
    </row>
    <row r="8">
      <c r="A8" s="1" t="n">
        <v>5</v>
      </c>
      <c r="B8" s="1" t="n">
        <v>10231009</v>
      </c>
      <c r="C8" s="2" t="inlineStr">
        <is>
          <t>Alfian Fadillah Putra</t>
        </is>
      </c>
      <c r="D8" s="1">
        <f>SUM('Nilai Mahasiswa'!D8*5.00/100,'Nilai Mahasiswa'!G8*4.00/100,'Nilai Mahasiswa'!N8*3.00/100,'Nilai Mahasiswa'!Q8*3.00/100)</f>
        <v/>
      </c>
      <c r="E8" s="1">
        <f>SUM('Nilai Mahasiswa'!E8*5.00/100,'Nilai Mahasiswa'!H8*4.00/100,'Nilai Mahasiswa'!J8*6.00/100,'Nilai Mahasiswa'!O8*3.00/100,'Nilai Mahasiswa'!R8*3.00/100,'Nilai Mahasiswa'!T8*4.00/100,'Nilai Mahasiswa'!V8*6.00/100,'Nilai Mahasiswa'!X8*4.00/100)</f>
        <v/>
      </c>
      <c r="F8" s="1">
        <f>SUM('Nilai Mahasiswa'!F8*5.00/100,'Nilai Mahasiswa'!I8*4.00/100,'Nilai Mahasiswa'!P8*3.00/100,'Nilai Mahasiswa'!S8*3.00/100)</f>
        <v/>
      </c>
      <c r="G8" s="1">
        <f>SUM('Nilai Mahasiswa'!K8*7.00/100,'Nilai Mahasiswa'!L8*4.00/100,'Nilai Mahasiswa'!M8*3.00/100,'Nilai Mahasiswa'!U8*6.00/100,'Nilai Mahasiswa'!W8*7.00/100,'Nilai Mahasiswa'!Y8*8.00/100)</f>
        <v/>
      </c>
      <c r="H8" s="3">
        <f>SUM(D8:G8)</f>
        <v/>
      </c>
    </row>
    <row r="9">
      <c r="A9" s="1" t="n">
        <v>6</v>
      </c>
      <c r="B9" s="1" t="n">
        <v>10231011</v>
      </c>
      <c r="C9" s="2" t="inlineStr">
        <is>
          <t>Alsha Dwi Cahya</t>
        </is>
      </c>
      <c r="D9" s="1">
        <f>SUM('Nilai Mahasiswa'!D9*5.00/100,'Nilai Mahasiswa'!G9*4.00/100,'Nilai Mahasiswa'!N9*3.00/100,'Nilai Mahasiswa'!Q9*3.00/100)</f>
        <v/>
      </c>
      <c r="E9" s="1">
        <f>SUM('Nilai Mahasiswa'!E9*5.00/100,'Nilai Mahasiswa'!H9*4.00/100,'Nilai Mahasiswa'!J9*6.00/100,'Nilai Mahasiswa'!O9*3.00/100,'Nilai Mahasiswa'!R9*3.00/100,'Nilai Mahasiswa'!T9*4.00/100,'Nilai Mahasiswa'!V9*6.00/100,'Nilai Mahasiswa'!X9*4.00/100)</f>
        <v/>
      </c>
      <c r="F9" s="1">
        <f>SUM('Nilai Mahasiswa'!F9*5.00/100,'Nilai Mahasiswa'!I9*4.00/100,'Nilai Mahasiswa'!P9*3.00/100,'Nilai Mahasiswa'!S9*3.00/100)</f>
        <v/>
      </c>
      <c r="G9" s="1">
        <f>SUM('Nilai Mahasiswa'!K9*7.00/100,'Nilai Mahasiswa'!L9*4.00/100,'Nilai Mahasiswa'!M9*3.00/100,'Nilai Mahasiswa'!U9*6.00/100,'Nilai Mahasiswa'!W9*7.00/100,'Nilai Mahasiswa'!Y9*8.00/100)</f>
        <v/>
      </c>
      <c r="H9" s="3">
        <f>SUM(D9:G9)</f>
        <v/>
      </c>
    </row>
    <row r="10">
      <c r="A10" s="1" t="n">
        <v>7</v>
      </c>
      <c r="B10" s="1" t="n">
        <v>10231013</v>
      </c>
      <c r="C10" s="2" t="inlineStr">
        <is>
          <t>Amazia Devid Saputra</t>
        </is>
      </c>
      <c r="D10" s="1">
        <f>SUM('Nilai Mahasiswa'!D10*5.00/100,'Nilai Mahasiswa'!G10*4.00/100,'Nilai Mahasiswa'!N10*3.00/100,'Nilai Mahasiswa'!Q10*3.00/100)</f>
        <v/>
      </c>
      <c r="E10" s="1">
        <f>SUM('Nilai Mahasiswa'!E10*5.00/100,'Nilai Mahasiswa'!H10*4.00/100,'Nilai Mahasiswa'!J10*6.00/100,'Nilai Mahasiswa'!O10*3.00/100,'Nilai Mahasiswa'!R10*3.00/100,'Nilai Mahasiswa'!T10*4.00/100,'Nilai Mahasiswa'!V10*6.00/100,'Nilai Mahasiswa'!X10*4.00/100)</f>
        <v/>
      </c>
      <c r="F10" s="1">
        <f>SUM('Nilai Mahasiswa'!F10*5.00/100,'Nilai Mahasiswa'!I10*4.00/100,'Nilai Mahasiswa'!P10*3.00/100,'Nilai Mahasiswa'!S10*3.00/100)</f>
        <v/>
      </c>
      <c r="G10" s="1">
        <f>SUM('Nilai Mahasiswa'!K10*7.00/100,'Nilai Mahasiswa'!L10*4.00/100,'Nilai Mahasiswa'!M10*3.00/100,'Nilai Mahasiswa'!U10*6.00/100,'Nilai Mahasiswa'!W10*7.00/100,'Nilai Mahasiswa'!Y10*8.00/100)</f>
        <v/>
      </c>
      <c r="H10" s="3">
        <f>SUM(D10:G10)</f>
        <v/>
      </c>
    </row>
    <row r="11">
      <c r="A11" s="1" t="n">
        <v>8</v>
      </c>
      <c r="B11" s="1" t="n">
        <v>10231015</v>
      </c>
      <c r="C11" s="2" t="inlineStr">
        <is>
          <t>Andini Permata Sari</t>
        </is>
      </c>
      <c r="D11" s="1">
        <f>SUM('Nilai Mahasiswa'!D11*5.00/100,'Nilai Mahasiswa'!G11*4.00/100,'Nilai Mahasiswa'!N11*3.00/100,'Nilai Mahasiswa'!Q11*3.00/100)</f>
        <v/>
      </c>
      <c r="E11" s="1">
        <f>SUM('Nilai Mahasiswa'!E11*5.00/100,'Nilai Mahasiswa'!H11*4.00/100,'Nilai Mahasiswa'!J11*6.00/100,'Nilai Mahasiswa'!O11*3.00/100,'Nilai Mahasiswa'!R11*3.00/100,'Nilai Mahasiswa'!T11*4.00/100,'Nilai Mahasiswa'!V11*6.00/100,'Nilai Mahasiswa'!X11*4.00/100)</f>
        <v/>
      </c>
      <c r="F11" s="1">
        <f>SUM('Nilai Mahasiswa'!F11*5.00/100,'Nilai Mahasiswa'!I11*4.00/100,'Nilai Mahasiswa'!P11*3.00/100,'Nilai Mahasiswa'!S11*3.00/100)</f>
        <v/>
      </c>
      <c r="G11" s="1">
        <f>SUM('Nilai Mahasiswa'!K11*7.00/100,'Nilai Mahasiswa'!L11*4.00/100,'Nilai Mahasiswa'!M11*3.00/100,'Nilai Mahasiswa'!U11*6.00/100,'Nilai Mahasiswa'!W11*7.00/100,'Nilai Mahasiswa'!Y11*8.00/100)</f>
        <v/>
      </c>
      <c r="H11" s="3">
        <f>SUM(D11:G11)</f>
        <v/>
      </c>
    </row>
    <row r="12">
      <c r="A12" s="1" t="n">
        <v>9</v>
      </c>
      <c r="B12" s="1" t="n">
        <v>10231017</v>
      </c>
      <c r="C12" s="2" t="inlineStr">
        <is>
          <t>Ansellma Tita Pakartiwuri Putri</t>
        </is>
      </c>
      <c r="D12" s="1">
        <f>SUM('Nilai Mahasiswa'!D12*5.00/100,'Nilai Mahasiswa'!G12*4.00/100,'Nilai Mahasiswa'!N12*3.00/100,'Nilai Mahasiswa'!Q12*3.00/100)</f>
        <v/>
      </c>
      <c r="E12" s="1">
        <f>SUM('Nilai Mahasiswa'!E12*5.00/100,'Nilai Mahasiswa'!H12*4.00/100,'Nilai Mahasiswa'!J12*6.00/100,'Nilai Mahasiswa'!O12*3.00/100,'Nilai Mahasiswa'!R12*3.00/100,'Nilai Mahasiswa'!T12*4.00/100,'Nilai Mahasiswa'!V12*6.00/100,'Nilai Mahasiswa'!X12*4.00/100)</f>
        <v/>
      </c>
      <c r="F12" s="1">
        <f>SUM('Nilai Mahasiswa'!F12*5.00/100,'Nilai Mahasiswa'!I12*4.00/100,'Nilai Mahasiswa'!P12*3.00/100,'Nilai Mahasiswa'!S12*3.00/100)</f>
        <v/>
      </c>
      <c r="G12" s="1">
        <f>SUM('Nilai Mahasiswa'!K12*7.00/100,'Nilai Mahasiswa'!L12*4.00/100,'Nilai Mahasiswa'!M12*3.00/100,'Nilai Mahasiswa'!U12*6.00/100,'Nilai Mahasiswa'!W12*7.00/100,'Nilai Mahasiswa'!Y12*8.00/100)</f>
        <v/>
      </c>
      <c r="H12" s="3">
        <f>SUM(D12:G12)</f>
        <v/>
      </c>
    </row>
    <row r="13">
      <c r="A13" s="1" t="n">
        <v>10</v>
      </c>
      <c r="B13" s="1" t="n">
        <v>10231021</v>
      </c>
      <c r="C13" s="2" t="inlineStr">
        <is>
          <t>AVHILLA CATTON ANDALUCIA</t>
        </is>
      </c>
      <c r="D13" s="1">
        <f>SUM('Nilai Mahasiswa'!D13*5.00/100,'Nilai Mahasiswa'!G13*4.00/100,'Nilai Mahasiswa'!N13*3.00/100,'Nilai Mahasiswa'!Q13*3.00/100)</f>
        <v/>
      </c>
      <c r="E13" s="1">
        <f>SUM('Nilai Mahasiswa'!E13*5.00/100,'Nilai Mahasiswa'!H13*4.00/100,'Nilai Mahasiswa'!J13*6.00/100,'Nilai Mahasiswa'!O13*3.00/100,'Nilai Mahasiswa'!R13*3.00/100,'Nilai Mahasiswa'!T13*4.00/100,'Nilai Mahasiswa'!V13*6.00/100,'Nilai Mahasiswa'!X13*4.00/100)</f>
        <v/>
      </c>
      <c r="F13" s="1">
        <f>SUM('Nilai Mahasiswa'!F13*5.00/100,'Nilai Mahasiswa'!I13*4.00/100,'Nilai Mahasiswa'!P13*3.00/100,'Nilai Mahasiswa'!S13*3.00/100)</f>
        <v/>
      </c>
      <c r="G13" s="1">
        <f>SUM('Nilai Mahasiswa'!K13*7.00/100,'Nilai Mahasiswa'!L13*4.00/100,'Nilai Mahasiswa'!M13*3.00/100,'Nilai Mahasiswa'!U13*6.00/100,'Nilai Mahasiswa'!W13*7.00/100,'Nilai Mahasiswa'!Y13*8.00/100)</f>
        <v/>
      </c>
      <c r="H13" s="3">
        <f>SUM(D13:G13)</f>
        <v/>
      </c>
    </row>
    <row r="14">
      <c r="A14" s="1" t="n">
        <v>11</v>
      </c>
      <c r="B14" s="1" t="n">
        <v>10231023</v>
      </c>
      <c r="C14" s="2" t="inlineStr">
        <is>
          <t>Betran</t>
        </is>
      </c>
      <c r="D14" s="1">
        <f>SUM('Nilai Mahasiswa'!D14*5.00/100,'Nilai Mahasiswa'!G14*4.00/100,'Nilai Mahasiswa'!N14*3.00/100,'Nilai Mahasiswa'!Q14*3.00/100)</f>
        <v/>
      </c>
      <c r="E14" s="1">
        <f>SUM('Nilai Mahasiswa'!E14*5.00/100,'Nilai Mahasiswa'!H14*4.00/100,'Nilai Mahasiswa'!J14*6.00/100,'Nilai Mahasiswa'!O14*3.00/100,'Nilai Mahasiswa'!R14*3.00/100,'Nilai Mahasiswa'!T14*4.00/100,'Nilai Mahasiswa'!V14*6.00/100,'Nilai Mahasiswa'!X14*4.00/100)</f>
        <v/>
      </c>
      <c r="F14" s="1">
        <f>SUM('Nilai Mahasiswa'!F14*5.00/100,'Nilai Mahasiswa'!I14*4.00/100,'Nilai Mahasiswa'!P14*3.00/100,'Nilai Mahasiswa'!S14*3.00/100)</f>
        <v/>
      </c>
      <c r="G14" s="1">
        <f>SUM('Nilai Mahasiswa'!K14*7.00/100,'Nilai Mahasiswa'!L14*4.00/100,'Nilai Mahasiswa'!M14*3.00/100,'Nilai Mahasiswa'!U14*6.00/100,'Nilai Mahasiswa'!W14*7.00/100,'Nilai Mahasiswa'!Y14*8.00/100)</f>
        <v/>
      </c>
      <c r="H14" s="3">
        <f>SUM(D14:G14)</f>
        <v/>
      </c>
    </row>
    <row r="15">
      <c r="A15" s="1" t="n">
        <v>12</v>
      </c>
      <c r="B15" s="1" t="n">
        <v>10231025</v>
      </c>
      <c r="C15" s="2" t="inlineStr">
        <is>
          <t>Chelsy Olivia</t>
        </is>
      </c>
      <c r="D15" s="1">
        <f>SUM('Nilai Mahasiswa'!D15*5.00/100,'Nilai Mahasiswa'!G15*4.00/100,'Nilai Mahasiswa'!N15*3.00/100,'Nilai Mahasiswa'!Q15*3.00/100)</f>
        <v/>
      </c>
      <c r="E15" s="1">
        <f>SUM('Nilai Mahasiswa'!E15*5.00/100,'Nilai Mahasiswa'!H15*4.00/100,'Nilai Mahasiswa'!J15*6.00/100,'Nilai Mahasiswa'!O15*3.00/100,'Nilai Mahasiswa'!R15*3.00/100,'Nilai Mahasiswa'!T15*4.00/100,'Nilai Mahasiswa'!V15*6.00/100,'Nilai Mahasiswa'!X15*4.00/100)</f>
        <v/>
      </c>
      <c r="F15" s="1">
        <f>SUM('Nilai Mahasiswa'!F15*5.00/100,'Nilai Mahasiswa'!I15*4.00/100,'Nilai Mahasiswa'!P15*3.00/100,'Nilai Mahasiswa'!S15*3.00/100)</f>
        <v/>
      </c>
      <c r="G15" s="1">
        <f>SUM('Nilai Mahasiswa'!K15*7.00/100,'Nilai Mahasiswa'!L15*4.00/100,'Nilai Mahasiswa'!M15*3.00/100,'Nilai Mahasiswa'!U15*6.00/100,'Nilai Mahasiswa'!W15*7.00/100,'Nilai Mahasiswa'!Y15*8.00/100)</f>
        <v/>
      </c>
      <c r="H15" s="3">
        <f>SUM(D15:G15)</f>
        <v/>
      </c>
    </row>
    <row r="16">
      <c r="A16" s="1" t="n">
        <v>13</v>
      </c>
      <c r="B16" s="1" t="n">
        <v>10231029</v>
      </c>
      <c r="C16" s="2" t="inlineStr">
        <is>
          <t>Debora Intania Subekti</t>
        </is>
      </c>
      <c r="D16" s="1">
        <f>SUM('Nilai Mahasiswa'!D16*5.00/100,'Nilai Mahasiswa'!G16*4.00/100,'Nilai Mahasiswa'!N16*3.00/100,'Nilai Mahasiswa'!Q16*3.00/100)</f>
        <v/>
      </c>
      <c r="E16" s="1">
        <f>SUM('Nilai Mahasiswa'!E16*5.00/100,'Nilai Mahasiswa'!H16*4.00/100,'Nilai Mahasiswa'!J16*6.00/100,'Nilai Mahasiswa'!O16*3.00/100,'Nilai Mahasiswa'!R16*3.00/100,'Nilai Mahasiswa'!T16*4.00/100,'Nilai Mahasiswa'!V16*6.00/100,'Nilai Mahasiswa'!X16*4.00/100)</f>
        <v/>
      </c>
      <c r="F16" s="1">
        <f>SUM('Nilai Mahasiswa'!F16*5.00/100,'Nilai Mahasiswa'!I16*4.00/100,'Nilai Mahasiswa'!P16*3.00/100,'Nilai Mahasiswa'!S16*3.00/100)</f>
        <v/>
      </c>
      <c r="G16" s="1">
        <f>SUM('Nilai Mahasiswa'!K16*7.00/100,'Nilai Mahasiswa'!L16*4.00/100,'Nilai Mahasiswa'!M16*3.00/100,'Nilai Mahasiswa'!U16*6.00/100,'Nilai Mahasiswa'!W16*7.00/100,'Nilai Mahasiswa'!Y16*8.00/100)</f>
        <v/>
      </c>
      <c r="H16" s="3">
        <f>SUM(D16:G16)</f>
        <v/>
      </c>
    </row>
    <row r="17">
      <c r="A17" s="1" t="n">
        <v>14</v>
      </c>
      <c r="B17" s="1" t="n">
        <v>10231031</v>
      </c>
      <c r="C17" s="2" t="inlineStr">
        <is>
          <t>DHIYA AFIFAH</t>
        </is>
      </c>
      <c r="D17" s="1">
        <f>SUM('Nilai Mahasiswa'!D17*5.00/100,'Nilai Mahasiswa'!G17*4.00/100,'Nilai Mahasiswa'!N17*3.00/100,'Nilai Mahasiswa'!Q17*3.00/100)</f>
        <v/>
      </c>
      <c r="E17" s="1">
        <f>SUM('Nilai Mahasiswa'!E17*5.00/100,'Nilai Mahasiswa'!H17*4.00/100,'Nilai Mahasiswa'!J17*6.00/100,'Nilai Mahasiswa'!O17*3.00/100,'Nilai Mahasiswa'!R17*3.00/100,'Nilai Mahasiswa'!T17*4.00/100,'Nilai Mahasiswa'!V17*6.00/100,'Nilai Mahasiswa'!X17*4.00/100)</f>
        <v/>
      </c>
      <c r="F17" s="1">
        <f>SUM('Nilai Mahasiswa'!F17*5.00/100,'Nilai Mahasiswa'!I17*4.00/100,'Nilai Mahasiswa'!P17*3.00/100,'Nilai Mahasiswa'!S17*3.00/100)</f>
        <v/>
      </c>
      <c r="G17" s="1">
        <f>SUM('Nilai Mahasiswa'!K17*7.00/100,'Nilai Mahasiswa'!L17*4.00/100,'Nilai Mahasiswa'!M17*3.00/100,'Nilai Mahasiswa'!U17*6.00/100,'Nilai Mahasiswa'!W17*7.00/100,'Nilai Mahasiswa'!Y17*8.00/100)</f>
        <v/>
      </c>
      <c r="H17" s="3">
        <f>SUM(D17:G17)</f>
        <v/>
      </c>
    </row>
    <row r="18">
      <c r="A18" s="1" t="n">
        <v>15</v>
      </c>
      <c r="B18" s="1" t="n">
        <v>10231035</v>
      </c>
      <c r="C18" s="2" t="inlineStr">
        <is>
          <t>Dzaky Rasyiq Zuhair</t>
        </is>
      </c>
      <c r="D18" s="1">
        <f>SUM('Nilai Mahasiswa'!D18*5.00/100,'Nilai Mahasiswa'!G18*4.00/100,'Nilai Mahasiswa'!N18*3.00/100,'Nilai Mahasiswa'!Q18*3.00/100)</f>
        <v/>
      </c>
      <c r="E18" s="1">
        <f>SUM('Nilai Mahasiswa'!E18*5.00/100,'Nilai Mahasiswa'!H18*4.00/100,'Nilai Mahasiswa'!J18*6.00/100,'Nilai Mahasiswa'!O18*3.00/100,'Nilai Mahasiswa'!R18*3.00/100,'Nilai Mahasiswa'!T18*4.00/100,'Nilai Mahasiswa'!V18*6.00/100,'Nilai Mahasiswa'!X18*4.00/100)</f>
        <v/>
      </c>
      <c r="F18" s="1">
        <f>SUM('Nilai Mahasiswa'!F18*5.00/100,'Nilai Mahasiswa'!I18*4.00/100,'Nilai Mahasiswa'!P18*3.00/100,'Nilai Mahasiswa'!S18*3.00/100)</f>
        <v/>
      </c>
      <c r="G18" s="1">
        <f>SUM('Nilai Mahasiswa'!K18*7.00/100,'Nilai Mahasiswa'!L18*4.00/100,'Nilai Mahasiswa'!M18*3.00/100,'Nilai Mahasiswa'!U18*6.00/100,'Nilai Mahasiswa'!W18*7.00/100,'Nilai Mahasiswa'!Y18*8.00/100)</f>
        <v/>
      </c>
      <c r="H18" s="3">
        <f>SUM(D18:G18)</f>
        <v/>
      </c>
    </row>
    <row r="19">
      <c r="A19" s="1" t="n">
        <v>16</v>
      </c>
      <c r="B19" s="1" t="n">
        <v>10231039</v>
      </c>
      <c r="C19" s="2" t="inlineStr">
        <is>
          <t>Gabriel Karmen Sanggalangi</t>
        </is>
      </c>
      <c r="D19" s="1">
        <f>SUM('Nilai Mahasiswa'!D19*5.00/100,'Nilai Mahasiswa'!G19*4.00/100,'Nilai Mahasiswa'!N19*3.00/100,'Nilai Mahasiswa'!Q19*3.00/100)</f>
        <v/>
      </c>
      <c r="E19" s="1">
        <f>SUM('Nilai Mahasiswa'!E19*5.00/100,'Nilai Mahasiswa'!H19*4.00/100,'Nilai Mahasiswa'!J19*6.00/100,'Nilai Mahasiswa'!O19*3.00/100,'Nilai Mahasiswa'!R19*3.00/100,'Nilai Mahasiswa'!T19*4.00/100,'Nilai Mahasiswa'!V19*6.00/100,'Nilai Mahasiswa'!X19*4.00/100)</f>
        <v/>
      </c>
      <c r="F19" s="1">
        <f>SUM('Nilai Mahasiswa'!F19*5.00/100,'Nilai Mahasiswa'!I19*4.00/100,'Nilai Mahasiswa'!P19*3.00/100,'Nilai Mahasiswa'!S19*3.00/100)</f>
        <v/>
      </c>
      <c r="G19" s="1">
        <f>SUM('Nilai Mahasiswa'!K19*7.00/100,'Nilai Mahasiswa'!L19*4.00/100,'Nilai Mahasiswa'!M19*3.00/100,'Nilai Mahasiswa'!U19*6.00/100,'Nilai Mahasiswa'!W19*7.00/100,'Nilai Mahasiswa'!Y19*8.00/100)</f>
        <v/>
      </c>
      <c r="H19" s="3">
        <f>SUM(D19:G19)</f>
        <v/>
      </c>
    </row>
    <row r="20">
      <c r="A20" s="1" t="n">
        <v>17</v>
      </c>
      <c r="B20" s="1" t="n">
        <v>10231041</v>
      </c>
      <c r="C20" s="2" t="inlineStr">
        <is>
          <t>Ika Agustin Wulandari</t>
        </is>
      </c>
      <c r="D20" s="1">
        <f>SUM('Nilai Mahasiswa'!D20*5.00/100,'Nilai Mahasiswa'!G20*4.00/100,'Nilai Mahasiswa'!N20*3.00/100,'Nilai Mahasiswa'!Q20*3.00/100)</f>
        <v/>
      </c>
      <c r="E20" s="1">
        <f>SUM('Nilai Mahasiswa'!E20*5.00/100,'Nilai Mahasiswa'!H20*4.00/100,'Nilai Mahasiswa'!J20*6.00/100,'Nilai Mahasiswa'!O20*3.00/100,'Nilai Mahasiswa'!R20*3.00/100,'Nilai Mahasiswa'!T20*4.00/100,'Nilai Mahasiswa'!V20*6.00/100,'Nilai Mahasiswa'!X20*4.00/100)</f>
        <v/>
      </c>
      <c r="F20" s="1">
        <f>SUM('Nilai Mahasiswa'!F20*5.00/100,'Nilai Mahasiswa'!I20*4.00/100,'Nilai Mahasiswa'!P20*3.00/100,'Nilai Mahasiswa'!S20*3.00/100)</f>
        <v/>
      </c>
      <c r="G20" s="1">
        <f>SUM('Nilai Mahasiswa'!K20*7.00/100,'Nilai Mahasiswa'!L20*4.00/100,'Nilai Mahasiswa'!M20*3.00/100,'Nilai Mahasiswa'!U20*6.00/100,'Nilai Mahasiswa'!W20*7.00/100,'Nilai Mahasiswa'!Y20*8.00/100)</f>
        <v/>
      </c>
      <c r="H20" s="3">
        <f>SUM(D20:G20)</f>
        <v/>
      </c>
    </row>
    <row r="21">
      <c r="A21" s="1" t="n">
        <v>18</v>
      </c>
      <c r="B21" s="1" t="n">
        <v>10231043</v>
      </c>
      <c r="C21" s="2" t="inlineStr">
        <is>
          <t>Incha Raghil</t>
        </is>
      </c>
      <c r="D21" s="1">
        <f>SUM('Nilai Mahasiswa'!D21*5.00/100,'Nilai Mahasiswa'!G21*4.00/100,'Nilai Mahasiswa'!N21*3.00/100,'Nilai Mahasiswa'!Q21*3.00/100)</f>
        <v/>
      </c>
      <c r="E21" s="1">
        <f>SUM('Nilai Mahasiswa'!E21*5.00/100,'Nilai Mahasiswa'!H21*4.00/100,'Nilai Mahasiswa'!J21*6.00/100,'Nilai Mahasiswa'!O21*3.00/100,'Nilai Mahasiswa'!R21*3.00/100,'Nilai Mahasiswa'!T21*4.00/100,'Nilai Mahasiswa'!V21*6.00/100,'Nilai Mahasiswa'!X21*4.00/100)</f>
        <v/>
      </c>
      <c r="F21" s="1">
        <f>SUM('Nilai Mahasiswa'!F21*5.00/100,'Nilai Mahasiswa'!I21*4.00/100,'Nilai Mahasiswa'!P21*3.00/100,'Nilai Mahasiswa'!S21*3.00/100)</f>
        <v/>
      </c>
      <c r="G21" s="1">
        <f>SUM('Nilai Mahasiswa'!K21*7.00/100,'Nilai Mahasiswa'!L21*4.00/100,'Nilai Mahasiswa'!M21*3.00/100,'Nilai Mahasiswa'!U21*6.00/100,'Nilai Mahasiswa'!W21*7.00/100,'Nilai Mahasiswa'!Y21*8.00/100)</f>
        <v/>
      </c>
      <c r="H21" s="3">
        <f>SUM(D21:G21)</f>
        <v/>
      </c>
    </row>
    <row r="22">
      <c r="A22" s="1" t="n">
        <v>19</v>
      </c>
      <c r="B22" s="1" t="n">
        <v>10231045</v>
      </c>
      <c r="C22" s="2" t="inlineStr">
        <is>
          <t>Irfan Zaki Riyanto</t>
        </is>
      </c>
      <c r="D22" s="1">
        <f>SUM('Nilai Mahasiswa'!D22*5.00/100,'Nilai Mahasiswa'!G22*4.00/100,'Nilai Mahasiswa'!N22*3.00/100,'Nilai Mahasiswa'!Q22*3.00/100)</f>
        <v/>
      </c>
      <c r="E22" s="1">
        <f>SUM('Nilai Mahasiswa'!E22*5.00/100,'Nilai Mahasiswa'!H22*4.00/100,'Nilai Mahasiswa'!J22*6.00/100,'Nilai Mahasiswa'!O22*3.00/100,'Nilai Mahasiswa'!R22*3.00/100,'Nilai Mahasiswa'!T22*4.00/100,'Nilai Mahasiswa'!V22*6.00/100,'Nilai Mahasiswa'!X22*4.00/100)</f>
        <v/>
      </c>
      <c r="F22" s="1">
        <f>SUM('Nilai Mahasiswa'!F22*5.00/100,'Nilai Mahasiswa'!I22*4.00/100,'Nilai Mahasiswa'!P22*3.00/100,'Nilai Mahasiswa'!S22*3.00/100)</f>
        <v/>
      </c>
      <c r="G22" s="1">
        <f>SUM('Nilai Mahasiswa'!K22*7.00/100,'Nilai Mahasiswa'!L22*4.00/100,'Nilai Mahasiswa'!M22*3.00/100,'Nilai Mahasiswa'!U22*6.00/100,'Nilai Mahasiswa'!W22*7.00/100,'Nilai Mahasiswa'!Y22*8.00/100)</f>
        <v/>
      </c>
      <c r="H22" s="3">
        <f>SUM(D22:G22)</f>
        <v/>
      </c>
    </row>
    <row r="23">
      <c r="A23" s="1" t="n">
        <v>20</v>
      </c>
      <c r="B23" s="1" t="n">
        <v>10231047</v>
      </c>
      <c r="C23" s="2" t="inlineStr">
        <is>
          <t>Jonathan Cristopher Jetro</t>
        </is>
      </c>
      <c r="D23" s="1">
        <f>SUM('Nilai Mahasiswa'!D23*5.00/100,'Nilai Mahasiswa'!G23*4.00/100,'Nilai Mahasiswa'!N23*3.00/100,'Nilai Mahasiswa'!Q23*3.00/100)</f>
        <v/>
      </c>
      <c r="E23" s="1">
        <f>SUM('Nilai Mahasiswa'!E23*5.00/100,'Nilai Mahasiswa'!H23*4.00/100,'Nilai Mahasiswa'!J23*6.00/100,'Nilai Mahasiswa'!O23*3.00/100,'Nilai Mahasiswa'!R23*3.00/100,'Nilai Mahasiswa'!T23*4.00/100,'Nilai Mahasiswa'!V23*6.00/100,'Nilai Mahasiswa'!X23*4.00/100)</f>
        <v/>
      </c>
      <c r="F23" s="1">
        <f>SUM('Nilai Mahasiswa'!F23*5.00/100,'Nilai Mahasiswa'!I23*4.00/100,'Nilai Mahasiswa'!P23*3.00/100,'Nilai Mahasiswa'!S23*3.00/100)</f>
        <v/>
      </c>
      <c r="G23" s="1">
        <f>SUM('Nilai Mahasiswa'!K23*7.00/100,'Nilai Mahasiswa'!L23*4.00/100,'Nilai Mahasiswa'!M23*3.00/100,'Nilai Mahasiswa'!U23*6.00/100,'Nilai Mahasiswa'!W23*7.00/100,'Nilai Mahasiswa'!Y23*8.00/100)</f>
        <v/>
      </c>
      <c r="H23" s="3">
        <f>SUM(D23:G23)</f>
        <v/>
      </c>
    </row>
    <row r="24">
      <c r="A24" s="1" t="n">
        <v>21</v>
      </c>
      <c r="B24" s="1" t="n">
        <v>10231048</v>
      </c>
      <c r="C24" s="2" t="inlineStr">
        <is>
          <t>Jonathan Joseph Yudita Tampubolon</t>
        </is>
      </c>
      <c r="D24" s="1">
        <f>SUM('Nilai Mahasiswa'!D24*5.00/100,'Nilai Mahasiswa'!G24*4.00/100,'Nilai Mahasiswa'!N24*3.00/100,'Nilai Mahasiswa'!Q24*3.00/100)</f>
        <v/>
      </c>
      <c r="E24" s="1">
        <f>SUM('Nilai Mahasiswa'!E24*5.00/100,'Nilai Mahasiswa'!H24*4.00/100,'Nilai Mahasiswa'!J24*6.00/100,'Nilai Mahasiswa'!O24*3.00/100,'Nilai Mahasiswa'!R24*3.00/100,'Nilai Mahasiswa'!T24*4.00/100,'Nilai Mahasiswa'!V24*6.00/100,'Nilai Mahasiswa'!X24*4.00/100)</f>
        <v/>
      </c>
      <c r="F24" s="1">
        <f>SUM('Nilai Mahasiswa'!F24*5.00/100,'Nilai Mahasiswa'!I24*4.00/100,'Nilai Mahasiswa'!P24*3.00/100,'Nilai Mahasiswa'!S24*3.00/100)</f>
        <v/>
      </c>
      <c r="G24" s="1">
        <f>SUM('Nilai Mahasiswa'!K24*7.00/100,'Nilai Mahasiswa'!L24*4.00/100,'Nilai Mahasiswa'!M24*3.00/100,'Nilai Mahasiswa'!U24*6.00/100,'Nilai Mahasiswa'!W24*7.00/100,'Nilai Mahasiswa'!Y24*8.00/100)</f>
        <v/>
      </c>
      <c r="H24" s="3">
        <f>SUM(D24:G24)</f>
        <v/>
      </c>
    </row>
    <row r="25">
      <c r="A25" s="1" t="n">
        <v>22</v>
      </c>
      <c r="B25" s="1" t="n">
        <v>10231049</v>
      </c>
      <c r="C25" s="2" t="inlineStr">
        <is>
          <t>Khanza Nabila Tsabita</t>
        </is>
      </c>
      <c r="D25" s="1">
        <f>SUM('Nilai Mahasiswa'!D25*5.00/100,'Nilai Mahasiswa'!G25*4.00/100,'Nilai Mahasiswa'!N25*3.00/100,'Nilai Mahasiswa'!Q25*3.00/100)</f>
        <v/>
      </c>
      <c r="E25" s="1">
        <f>SUM('Nilai Mahasiswa'!E25*5.00/100,'Nilai Mahasiswa'!H25*4.00/100,'Nilai Mahasiswa'!J25*6.00/100,'Nilai Mahasiswa'!O25*3.00/100,'Nilai Mahasiswa'!R25*3.00/100,'Nilai Mahasiswa'!T25*4.00/100,'Nilai Mahasiswa'!V25*6.00/100,'Nilai Mahasiswa'!X25*4.00/100)</f>
        <v/>
      </c>
      <c r="F25" s="1">
        <f>SUM('Nilai Mahasiswa'!F25*5.00/100,'Nilai Mahasiswa'!I25*4.00/100,'Nilai Mahasiswa'!P25*3.00/100,'Nilai Mahasiswa'!S25*3.00/100)</f>
        <v/>
      </c>
      <c r="G25" s="1">
        <f>SUM('Nilai Mahasiswa'!K25*7.00/100,'Nilai Mahasiswa'!L25*4.00/100,'Nilai Mahasiswa'!M25*3.00/100,'Nilai Mahasiswa'!U25*6.00/100,'Nilai Mahasiswa'!W25*7.00/100,'Nilai Mahasiswa'!Y25*8.00/100)</f>
        <v/>
      </c>
      <c r="H25" s="3">
        <f>SUM(D25:G25)</f>
        <v/>
      </c>
    </row>
    <row r="26">
      <c r="A26" s="1" t="n">
        <v>23</v>
      </c>
      <c r="B26" s="1" t="n">
        <v>10231051</v>
      </c>
      <c r="C26" s="2" t="inlineStr">
        <is>
          <t>Maulana Malik Ibrahim</t>
        </is>
      </c>
      <c r="D26" s="1">
        <f>SUM('Nilai Mahasiswa'!D26*5.00/100,'Nilai Mahasiswa'!G26*4.00/100,'Nilai Mahasiswa'!N26*3.00/100,'Nilai Mahasiswa'!Q26*3.00/100)</f>
        <v/>
      </c>
      <c r="E26" s="1">
        <f>SUM('Nilai Mahasiswa'!E26*5.00/100,'Nilai Mahasiswa'!H26*4.00/100,'Nilai Mahasiswa'!J26*6.00/100,'Nilai Mahasiswa'!O26*3.00/100,'Nilai Mahasiswa'!R26*3.00/100,'Nilai Mahasiswa'!T26*4.00/100,'Nilai Mahasiswa'!V26*6.00/100,'Nilai Mahasiswa'!X26*4.00/100)</f>
        <v/>
      </c>
      <c r="F26" s="1">
        <f>SUM('Nilai Mahasiswa'!F26*5.00/100,'Nilai Mahasiswa'!I26*4.00/100,'Nilai Mahasiswa'!P26*3.00/100,'Nilai Mahasiswa'!S26*3.00/100)</f>
        <v/>
      </c>
      <c r="G26" s="1">
        <f>SUM('Nilai Mahasiswa'!K26*7.00/100,'Nilai Mahasiswa'!L26*4.00/100,'Nilai Mahasiswa'!M26*3.00/100,'Nilai Mahasiswa'!U26*6.00/100,'Nilai Mahasiswa'!W26*7.00/100,'Nilai Mahasiswa'!Y26*8.00/100)</f>
        <v/>
      </c>
      <c r="H26" s="3">
        <f>SUM(D26:G26)</f>
        <v/>
      </c>
    </row>
    <row r="27">
      <c r="A27" s="1" t="n">
        <v>24</v>
      </c>
      <c r="B27" s="1" t="n">
        <v>10231053</v>
      </c>
      <c r="C27" s="2" t="inlineStr">
        <is>
          <t>Micka Mayulia Utama</t>
        </is>
      </c>
      <c r="D27" s="1">
        <f>SUM('Nilai Mahasiswa'!D27*5.00/100,'Nilai Mahasiswa'!G27*4.00/100,'Nilai Mahasiswa'!N27*3.00/100,'Nilai Mahasiswa'!Q27*3.00/100)</f>
        <v/>
      </c>
      <c r="E27" s="1">
        <f>SUM('Nilai Mahasiswa'!E27*5.00/100,'Nilai Mahasiswa'!H27*4.00/100,'Nilai Mahasiswa'!J27*6.00/100,'Nilai Mahasiswa'!O27*3.00/100,'Nilai Mahasiswa'!R27*3.00/100,'Nilai Mahasiswa'!T27*4.00/100,'Nilai Mahasiswa'!V27*6.00/100,'Nilai Mahasiswa'!X27*4.00/100)</f>
        <v/>
      </c>
      <c r="F27" s="1">
        <f>SUM('Nilai Mahasiswa'!F27*5.00/100,'Nilai Mahasiswa'!I27*4.00/100,'Nilai Mahasiswa'!P27*3.00/100,'Nilai Mahasiswa'!S27*3.00/100)</f>
        <v/>
      </c>
      <c r="G27" s="1">
        <f>SUM('Nilai Mahasiswa'!K27*7.00/100,'Nilai Mahasiswa'!L27*4.00/100,'Nilai Mahasiswa'!M27*3.00/100,'Nilai Mahasiswa'!U27*6.00/100,'Nilai Mahasiswa'!W27*7.00/100,'Nilai Mahasiswa'!Y27*8.00/100)</f>
        <v/>
      </c>
      <c r="H27" s="3">
        <f>SUM(D27:G27)</f>
        <v/>
      </c>
    </row>
    <row r="28">
      <c r="A28" s="1" t="n">
        <v>25</v>
      </c>
      <c r="B28" s="1" t="n">
        <v>10231057</v>
      </c>
      <c r="C28" s="2" t="inlineStr">
        <is>
          <t>Muhammad Aqila Ardhi</t>
        </is>
      </c>
      <c r="D28" s="1">
        <f>SUM('Nilai Mahasiswa'!D28*5.00/100,'Nilai Mahasiswa'!G28*4.00/100,'Nilai Mahasiswa'!N28*3.00/100,'Nilai Mahasiswa'!Q28*3.00/100)</f>
        <v/>
      </c>
      <c r="E28" s="1">
        <f>SUM('Nilai Mahasiswa'!E28*5.00/100,'Nilai Mahasiswa'!H28*4.00/100,'Nilai Mahasiswa'!J28*6.00/100,'Nilai Mahasiswa'!O28*3.00/100,'Nilai Mahasiswa'!R28*3.00/100,'Nilai Mahasiswa'!T28*4.00/100,'Nilai Mahasiswa'!V28*6.00/100,'Nilai Mahasiswa'!X28*4.00/100)</f>
        <v/>
      </c>
      <c r="F28" s="1">
        <f>SUM('Nilai Mahasiswa'!F28*5.00/100,'Nilai Mahasiswa'!I28*4.00/100,'Nilai Mahasiswa'!P28*3.00/100,'Nilai Mahasiswa'!S28*3.00/100)</f>
        <v/>
      </c>
      <c r="G28" s="1">
        <f>SUM('Nilai Mahasiswa'!K28*7.00/100,'Nilai Mahasiswa'!L28*4.00/100,'Nilai Mahasiswa'!M28*3.00/100,'Nilai Mahasiswa'!U28*6.00/100,'Nilai Mahasiswa'!W28*7.00/100,'Nilai Mahasiswa'!Y28*8.00/100)</f>
        <v/>
      </c>
      <c r="H28" s="3">
        <f>SUM(D28:G28)</f>
        <v/>
      </c>
    </row>
    <row r="29">
      <c r="A29" s="1" t="n">
        <v>26</v>
      </c>
      <c r="B29" s="1" t="n">
        <v>10231059</v>
      </c>
      <c r="C29" s="2" t="inlineStr">
        <is>
          <t>Muhammad Athala Romero</t>
        </is>
      </c>
      <c r="D29" s="1">
        <f>SUM('Nilai Mahasiswa'!D29*5.00/100,'Nilai Mahasiswa'!G29*4.00/100,'Nilai Mahasiswa'!N29*3.00/100,'Nilai Mahasiswa'!Q29*3.00/100)</f>
        <v/>
      </c>
      <c r="E29" s="1">
        <f>SUM('Nilai Mahasiswa'!E29*5.00/100,'Nilai Mahasiswa'!H29*4.00/100,'Nilai Mahasiswa'!J29*6.00/100,'Nilai Mahasiswa'!O29*3.00/100,'Nilai Mahasiswa'!R29*3.00/100,'Nilai Mahasiswa'!T29*4.00/100,'Nilai Mahasiswa'!V29*6.00/100,'Nilai Mahasiswa'!X29*4.00/100)</f>
        <v/>
      </c>
      <c r="F29" s="1">
        <f>SUM('Nilai Mahasiswa'!F29*5.00/100,'Nilai Mahasiswa'!I29*4.00/100,'Nilai Mahasiswa'!P29*3.00/100,'Nilai Mahasiswa'!S29*3.00/100)</f>
        <v/>
      </c>
      <c r="G29" s="1">
        <f>SUM('Nilai Mahasiswa'!K29*7.00/100,'Nilai Mahasiswa'!L29*4.00/100,'Nilai Mahasiswa'!M29*3.00/100,'Nilai Mahasiswa'!U29*6.00/100,'Nilai Mahasiswa'!W29*7.00/100,'Nilai Mahasiswa'!Y29*8.00/100)</f>
        <v/>
      </c>
      <c r="H29" s="3">
        <f>SUM(D29:G29)</f>
        <v/>
      </c>
    </row>
    <row r="30">
      <c r="A30" s="1" t="n">
        <v>27</v>
      </c>
      <c r="B30" s="1" t="n">
        <v>10231061</v>
      </c>
      <c r="C30" s="2" t="inlineStr">
        <is>
          <t>Muhammad Bagas Setiawan</t>
        </is>
      </c>
      <c r="D30" s="1">
        <f>SUM('Nilai Mahasiswa'!D30*5.00/100,'Nilai Mahasiswa'!G30*4.00/100,'Nilai Mahasiswa'!N30*3.00/100,'Nilai Mahasiswa'!Q30*3.00/100)</f>
        <v/>
      </c>
      <c r="E30" s="1">
        <f>SUM('Nilai Mahasiswa'!E30*5.00/100,'Nilai Mahasiswa'!H30*4.00/100,'Nilai Mahasiswa'!J30*6.00/100,'Nilai Mahasiswa'!O30*3.00/100,'Nilai Mahasiswa'!R30*3.00/100,'Nilai Mahasiswa'!T30*4.00/100,'Nilai Mahasiswa'!V30*6.00/100,'Nilai Mahasiswa'!X30*4.00/100)</f>
        <v/>
      </c>
      <c r="F30" s="1">
        <f>SUM('Nilai Mahasiswa'!F30*5.00/100,'Nilai Mahasiswa'!I30*4.00/100,'Nilai Mahasiswa'!P30*3.00/100,'Nilai Mahasiswa'!S30*3.00/100)</f>
        <v/>
      </c>
      <c r="G30" s="1">
        <f>SUM('Nilai Mahasiswa'!K30*7.00/100,'Nilai Mahasiswa'!L30*4.00/100,'Nilai Mahasiswa'!M30*3.00/100,'Nilai Mahasiswa'!U30*6.00/100,'Nilai Mahasiswa'!W30*7.00/100,'Nilai Mahasiswa'!Y30*8.00/100)</f>
        <v/>
      </c>
      <c r="H30" s="3">
        <f>SUM(D30:G30)</f>
        <v/>
      </c>
    </row>
    <row r="31">
      <c r="A31" s="1" t="n">
        <v>28</v>
      </c>
      <c r="B31" s="1" t="n">
        <v>10231063</v>
      </c>
      <c r="C31" s="2" t="inlineStr">
        <is>
          <t>Muhammad Fikri Haikal Ariadma</t>
        </is>
      </c>
      <c r="D31" s="1">
        <f>SUM('Nilai Mahasiswa'!D31*5.00/100,'Nilai Mahasiswa'!G31*4.00/100,'Nilai Mahasiswa'!N31*3.00/100,'Nilai Mahasiswa'!Q31*3.00/100)</f>
        <v/>
      </c>
      <c r="E31" s="1">
        <f>SUM('Nilai Mahasiswa'!E31*5.00/100,'Nilai Mahasiswa'!H31*4.00/100,'Nilai Mahasiswa'!J31*6.00/100,'Nilai Mahasiswa'!O31*3.00/100,'Nilai Mahasiswa'!R31*3.00/100,'Nilai Mahasiswa'!T31*4.00/100,'Nilai Mahasiswa'!V31*6.00/100,'Nilai Mahasiswa'!X31*4.00/100)</f>
        <v/>
      </c>
      <c r="F31" s="1">
        <f>SUM('Nilai Mahasiswa'!F31*5.00/100,'Nilai Mahasiswa'!I31*4.00/100,'Nilai Mahasiswa'!P31*3.00/100,'Nilai Mahasiswa'!S31*3.00/100)</f>
        <v/>
      </c>
      <c r="G31" s="1">
        <f>SUM('Nilai Mahasiswa'!K31*7.00/100,'Nilai Mahasiswa'!L31*4.00/100,'Nilai Mahasiswa'!M31*3.00/100,'Nilai Mahasiswa'!U31*6.00/100,'Nilai Mahasiswa'!W31*7.00/100,'Nilai Mahasiswa'!Y31*8.00/100)</f>
        <v/>
      </c>
      <c r="H31" s="3">
        <f>SUM(D31:G31)</f>
        <v/>
      </c>
    </row>
    <row r="32">
      <c r="A32" s="1" t="n">
        <v>29</v>
      </c>
      <c r="B32" s="1" t="n">
        <v>10231067</v>
      </c>
      <c r="C32" s="2" t="inlineStr">
        <is>
          <t>Nanda Aulia Putri</t>
        </is>
      </c>
      <c r="D32" s="1">
        <f>SUM('Nilai Mahasiswa'!D32*5.00/100,'Nilai Mahasiswa'!G32*4.00/100,'Nilai Mahasiswa'!N32*3.00/100,'Nilai Mahasiswa'!Q32*3.00/100)</f>
        <v/>
      </c>
      <c r="E32" s="1">
        <f>SUM('Nilai Mahasiswa'!E32*5.00/100,'Nilai Mahasiswa'!H32*4.00/100,'Nilai Mahasiswa'!J32*6.00/100,'Nilai Mahasiswa'!O32*3.00/100,'Nilai Mahasiswa'!R32*3.00/100,'Nilai Mahasiswa'!T32*4.00/100,'Nilai Mahasiswa'!V32*6.00/100,'Nilai Mahasiswa'!X32*4.00/100)</f>
        <v/>
      </c>
      <c r="F32" s="1">
        <f>SUM('Nilai Mahasiswa'!F32*5.00/100,'Nilai Mahasiswa'!I32*4.00/100,'Nilai Mahasiswa'!P32*3.00/100,'Nilai Mahasiswa'!S32*3.00/100)</f>
        <v/>
      </c>
      <c r="G32" s="1">
        <f>SUM('Nilai Mahasiswa'!K32*7.00/100,'Nilai Mahasiswa'!L32*4.00/100,'Nilai Mahasiswa'!M32*3.00/100,'Nilai Mahasiswa'!U32*6.00/100,'Nilai Mahasiswa'!W32*7.00/100,'Nilai Mahasiswa'!Y32*8.00/100)</f>
        <v/>
      </c>
      <c r="H32" s="3">
        <f>SUM(D32:G32)</f>
        <v/>
      </c>
    </row>
    <row r="33">
      <c r="A33" s="1" t="n">
        <v>30</v>
      </c>
      <c r="B33" s="1" t="n">
        <v>10231069</v>
      </c>
      <c r="C33" s="2" t="inlineStr">
        <is>
          <t>Nicholas Christian Samuel Manurung</t>
        </is>
      </c>
      <c r="D33" s="1">
        <f>SUM('Nilai Mahasiswa'!D33*5.00/100,'Nilai Mahasiswa'!G33*4.00/100,'Nilai Mahasiswa'!N33*3.00/100,'Nilai Mahasiswa'!Q33*3.00/100)</f>
        <v/>
      </c>
      <c r="E33" s="1">
        <f>SUM('Nilai Mahasiswa'!E33*5.00/100,'Nilai Mahasiswa'!H33*4.00/100,'Nilai Mahasiswa'!J33*6.00/100,'Nilai Mahasiswa'!O33*3.00/100,'Nilai Mahasiswa'!R33*3.00/100,'Nilai Mahasiswa'!T33*4.00/100,'Nilai Mahasiswa'!V33*6.00/100,'Nilai Mahasiswa'!X33*4.00/100)</f>
        <v/>
      </c>
      <c r="F33" s="1">
        <f>SUM('Nilai Mahasiswa'!F33*5.00/100,'Nilai Mahasiswa'!I33*4.00/100,'Nilai Mahasiswa'!P33*3.00/100,'Nilai Mahasiswa'!S33*3.00/100)</f>
        <v/>
      </c>
      <c r="G33" s="1">
        <f>SUM('Nilai Mahasiswa'!K33*7.00/100,'Nilai Mahasiswa'!L33*4.00/100,'Nilai Mahasiswa'!M33*3.00/100,'Nilai Mahasiswa'!U33*6.00/100,'Nilai Mahasiswa'!W33*7.00/100,'Nilai Mahasiswa'!Y33*8.00/100)</f>
        <v/>
      </c>
      <c r="H33" s="3">
        <f>SUM(D33:G33)</f>
        <v/>
      </c>
    </row>
    <row r="34">
      <c r="A34" s="1" t="n">
        <v>31</v>
      </c>
      <c r="B34" s="1" t="n">
        <v>10231073</v>
      </c>
      <c r="C34" s="2" t="inlineStr">
        <is>
          <t>Pangeran Borneo Silaen</t>
        </is>
      </c>
      <c r="D34" s="1">
        <f>SUM('Nilai Mahasiswa'!D34*5.00/100,'Nilai Mahasiswa'!G34*4.00/100,'Nilai Mahasiswa'!N34*3.00/100,'Nilai Mahasiswa'!Q34*3.00/100)</f>
        <v/>
      </c>
      <c r="E34" s="1">
        <f>SUM('Nilai Mahasiswa'!E34*5.00/100,'Nilai Mahasiswa'!H34*4.00/100,'Nilai Mahasiswa'!J34*6.00/100,'Nilai Mahasiswa'!O34*3.00/100,'Nilai Mahasiswa'!R34*3.00/100,'Nilai Mahasiswa'!T34*4.00/100,'Nilai Mahasiswa'!V34*6.00/100,'Nilai Mahasiswa'!X34*4.00/100)</f>
        <v/>
      </c>
      <c r="F34" s="1">
        <f>SUM('Nilai Mahasiswa'!F34*5.00/100,'Nilai Mahasiswa'!I34*4.00/100,'Nilai Mahasiswa'!P34*3.00/100,'Nilai Mahasiswa'!S34*3.00/100)</f>
        <v/>
      </c>
      <c r="G34" s="1">
        <f>SUM('Nilai Mahasiswa'!K34*7.00/100,'Nilai Mahasiswa'!L34*4.00/100,'Nilai Mahasiswa'!M34*3.00/100,'Nilai Mahasiswa'!U34*6.00/100,'Nilai Mahasiswa'!W34*7.00/100,'Nilai Mahasiswa'!Y34*8.00/100)</f>
        <v/>
      </c>
      <c r="H34" s="3">
        <f>SUM(D34:G34)</f>
        <v/>
      </c>
    </row>
    <row r="35">
      <c r="A35" s="1" t="n">
        <v>32</v>
      </c>
      <c r="B35" s="1" t="n">
        <v>10231077</v>
      </c>
      <c r="C35" s="2" t="inlineStr">
        <is>
          <t>Raisha Alika Irwandira</t>
        </is>
      </c>
      <c r="D35" s="1">
        <f>SUM('Nilai Mahasiswa'!D35*5.00/100,'Nilai Mahasiswa'!G35*4.00/100,'Nilai Mahasiswa'!N35*3.00/100,'Nilai Mahasiswa'!Q35*3.00/100)</f>
        <v/>
      </c>
      <c r="E35" s="1">
        <f>SUM('Nilai Mahasiswa'!E35*5.00/100,'Nilai Mahasiswa'!H35*4.00/100,'Nilai Mahasiswa'!J35*6.00/100,'Nilai Mahasiswa'!O35*3.00/100,'Nilai Mahasiswa'!R35*3.00/100,'Nilai Mahasiswa'!T35*4.00/100,'Nilai Mahasiswa'!V35*6.00/100,'Nilai Mahasiswa'!X35*4.00/100)</f>
        <v/>
      </c>
      <c r="F35" s="1">
        <f>SUM('Nilai Mahasiswa'!F35*5.00/100,'Nilai Mahasiswa'!I35*4.00/100,'Nilai Mahasiswa'!P35*3.00/100,'Nilai Mahasiswa'!S35*3.00/100)</f>
        <v/>
      </c>
      <c r="G35" s="1">
        <f>SUM('Nilai Mahasiswa'!K35*7.00/100,'Nilai Mahasiswa'!L35*4.00/100,'Nilai Mahasiswa'!M35*3.00/100,'Nilai Mahasiswa'!U35*6.00/100,'Nilai Mahasiswa'!W35*7.00/100,'Nilai Mahasiswa'!Y35*8.00/100)</f>
        <v/>
      </c>
      <c r="H35" s="3">
        <f>SUM(D35:G35)</f>
        <v/>
      </c>
    </row>
    <row r="36">
      <c r="A36" s="1" t="n">
        <v>33</v>
      </c>
      <c r="B36" s="1" t="n">
        <v>10231079</v>
      </c>
      <c r="C36" s="2" t="inlineStr">
        <is>
          <t>Rani Ayu Dewi</t>
        </is>
      </c>
      <c r="D36" s="1">
        <f>SUM('Nilai Mahasiswa'!D36*5.00/100,'Nilai Mahasiswa'!G36*4.00/100,'Nilai Mahasiswa'!N36*3.00/100,'Nilai Mahasiswa'!Q36*3.00/100)</f>
        <v/>
      </c>
      <c r="E36" s="1">
        <f>SUM('Nilai Mahasiswa'!E36*5.00/100,'Nilai Mahasiswa'!H36*4.00/100,'Nilai Mahasiswa'!J36*6.00/100,'Nilai Mahasiswa'!O36*3.00/100,'Nilai Mahasiswa'!R36*3.00/100,'Nilai Mahasiswa'!T36*4.00/100,'Nilai Mahasiswa'!V36*6.00/100,'Nilai Mahasiswa'!X36*4.00/100)</f>
        <v/>
      </c>
      <c r="F36" s="1">
        <f>SUM('Nilai Mahasiswa'!F36*5.00/100,'Nilai Mahasiswa'!I36*4.00/100,'Nilai Mahasiswa'!P36*3.00/100,'Nilai Mahasiswa'!S36*3.00/100)</f>
        <v/>
      </c>
      <c r="G36" s="1">
        <f>SUM('Nilai Mahasiswa'!K36*7.00/100,'Nilai Mahasiswa'!L36*4.00/100,'Nilai Mahasiswa'!M36*3.00/100,'Nilai Mahasiswa'!U36*6.00/100,'Nilai Mahasiswa'!W36*7.00/100,'Nilai Mahasiswa'!Y36*8.00/100)</f>
        <v/>
      </c>
      <c r="H36" s="3">
        <f>SUM(D36:G36)</f>
        <v/>
      </c>
    </row>
    <row r="37">
      <c r="A37" s="1" t="n">
        <v>34</v>
      </c>
      <c r="B37" s="1" t="n">
        <v>10231081</v>
      </c>
      <c r="C37" s="2" t="inlineStr">
        <is>
          <t>Rendy Rifandi Kurnia</t>
        </is>
      </c>
      <c r="D37" s="1">
        <f>SUM('Nilai Mahasiswa'!D37*5.00/100,'Nilai Mahasiswa'!G37*4.00/100,'Nilai Mahasiswa'!N37*3.00/100,'Nilai Mahasiswa'!Q37*3.00/100)</f>
        <v/>
      </c>
      <c r="E37" s="1">
        <f>SUM('Nilai Mahasiswa'!E37*5.00/100,'Nilai Mahasiswa'!H37*4.00/100,'Nilai Mahasiswa'!J37*6.00/100,'Nilai Mahasiswa'!O37*3.00/100,'Nilai Mahasiswa'!R37*3.00/100,'Nilai Mahasiswa'!T37*4.00/100,'Nilai Mahasiswa'!V37*6.00/100,'Nilai Mahasiswa'!X37*4.00/100)</f>
        <v/>
      </c>
      <c r="F37" s="1">
        <f>SUM('Nilai Mahasiswa'!F37*5.00/100,'Nilai Mahasiswa'!I37*4.00/100,'Nilai Mahasiswa'!P37*3.00/100,'Nilai Mahasiswa'!S37*3.00/100)</f>
        <v/>
      </c>
      <c r="G37" s="1">
        <f>SUM('Nilai Mahasiswa'!K37*7.00/100,'Nilai Mahasiswa'!L37*4.00/100,'Nilai Mahasiswa'!M37*3.00/100,'Nilai Mahasiswa'!U37*6.00/100,'Nilai Mahasiswa'!W37*7.00/100,'Nilai Mahasiswa'!Y37*8.00/100)</f>
        <v/>
      </c>
      <c r="H37" s="3">
        <f>SUM(D37:G37)</f>
        <v/>
      </c>
    </row>
    <row r="38">
      <c r="A38" s="1" t="n">
        <v>35</v>
      </c>
      <c r="B38" s="1" t="n">
        <v>10231083</v>
      </c>
      <c r="C38" s="2" t="inlineStr">
        <is>
          <t>Riska Fadlun Khairiyah Purba</t>
        </is>
      </c>
      <c r="D38" s="1">
        <f>SUM('Nilai Mahasiswa'!D38*5.00/100,'Nilai Mahasiswa'!G38*4.00/100,'Nilai Mahasiswa'!N38*3.00/100,'Nilai Mahasiswa'!Q38*3.00/100)</f>
        <v/>
      </c>
      <c r="E38" s="1">
        <f>SUM('Nilai Mahasiswa'!E38*5.00/100,'Nilai Mahasiswa'!H38*4.00/100,'Nilai Mahasiswa'!J38*6.00/100,'Nilai Mahasiswa'!O38*3.00/100,'Nilai Mahasiswa'!R38*3.00/100,'Nilai Mahasiswa'!T38*4.00/100,'Nilai Mahasiswa'!V38*6.00/100,'Nilai Mahasiswa'!X38*4.00/100)</f>
        <v/>
      </c>
      <c r="F38" s="1">
        <f>SUM('Nilai Mahasiswa'!F38*5.00/100,'Nilai Mahasiswa'!I38*4.00/100,'Nilai Mahasiswa'!P38*3.00/100,'Nilai Mahasiswa'!S38*3.00/100)</f>
        <v/>
      </c>
      <c r="G38" s="1">
        <f>SUM('Nilai Mahasiswa'!K38*7.00/100,'Nilai Mahasiswa'!L38*4.00/100,'Nilai Mahasiswa'!M38*3.00/100,'Nilai Mahasiswa'!U38*6.00/100,'Nilai Mahasiswa'!W38*7.00/100,'Nilai Mahasiswa'!Y38*8.00/100)</f>
        <v/>
      </c>
      <c r="H38" s="3">
        <f>SUM(D38:G38)</f>
        <v/>
      </c>
    </row>
    <row r="39">
      <c r="A39" s="1" t="n">
        <v>36</v>
      </c>
      <c r="B39" s="1" t="n">
        <v>10231085</v>
      </c>
      <c r="C39" s="2" t="inlineStr">
        <is>
          <t>RIZKI ABDUL AZIZ</t>
        </is>
      </c>
      <c r="D39" s="1">
        <f>SUM('Nilai Mahasiswa'!D39*5.00/100,'Nilai Mahasiswa'!G39*4.00/100,'Nilai Mahasiswa'!N39*3.00/100,'Nilai Mahasiswa'!Q39*3.00/100)</f>
        <v/>
      </c>
      <c r="E39" s="1">
        <f>SUM('Nilai Mahasiswa'!E39*5.00/100,'Nilai Mahasiswa'!H39*4.00/100,'Nilai Mahasiswa'!J39*6.00/100,'Nilai Mahasiswa'!O39*3.00/100,'Nilai Mahasiswa'!R39*3.00/100,'Nilai Mahasiswa'!T39*4.00/100,'Nilai Mahasiswa'!V39*6.00/100,'Nilai Mahasiswa'!X39*4.00/100)</f>
        <v/>
      </c>
      <c r="F39" s="1">
        <f>SUM('Nilai Mahasiswa'!F39*5.00/100,'Nilai Mahasiswa'!I39*4.00/100,'Nilai Mahasiswa'!P39*3.00/100,'Nilai Mahasiswa'!S39*3.00/100)</f>
        <v/>
      </c>
      <c r="G39" s="1">
        <f>SUM('Nilai Mahasiswa'!K39*7.00/100,'Nilai Mahasiswa'!L39*4.00/100,'Nilai Mahasiswa'!M39*3.00/100,'Nilai Mahasiswa'!U39*6.00/100,'Nilai Mahasiswa'!W39*7.00/100,'Nilai Mahasiswa'!Y39*8.00/100)</f>
        <v/>
      </c>
      <c r="H39" s="3">
        <f>SUM(D39:G39)</f>
        <v/>
      </c>
    </row>
    <row r="40">
      <c r="A40" s="1" t="n">
        <v>37</v>
      </c>
      <c r="B40" s="1" t="n">
        <v>10231087</v>
      </c>
      <c r="C40" s="2" t="inlineStr">
        <is>
          <t>Siti Nur Azizah Putri Awni</t>
        </is>
      </c>
      <c r="D40" s="1">
        <f>SUM('Nilai Mahasiswa'!D40*5.00/100,'Nilai Mahasiswa'!G40*4.00/100,'Nilai Mahasiswa'!N40*3.00/100,'Nilai Mahasiswa'!Q40*3.00/100)</f>
        <v/>
      </c>
      <c r="E40" s="1">
        <f>SUM('Nilai Mahasiswa'!E40*5.00/100,'Nilai Mahasiswa'!H40*4.00/100,'Nilai Mahasiswa'!J40*6.00/100,'Nilai Mahasiswa'!O40*3.00/100,'Nilai Mahasiswa'!R40*3.00/100,'Nilai Mahasiswa'!T40*4.00/100,'Nilai Mahasiswa'!V40*6.00/100,'Nilai Mahasiswa'!X40*4.00/100)</f>
        <v/>
      </c>
      <c r="F40" s="1">
        <f>SUM('Nilai Mahasiswa'!F40*5.00/100,'Nilai Mahasiswa'!I40*4.00/100,'Nilai Mahasiswa'!P40*3.00/100,'Nilai Mahasiswa'!S40*3.00/100)</f>
        <v/>
      </c>
      <c r="G40" s="1">
        <f>SUM('Nilai Mahasiswa'!K40*7.00/100,'Nilai Mahasiswa'!L40*4.00/100,'Nilai Mahasiswa'!M40*3.00/100,'Nilai Mahasiswa'!U40*6.00/100,'Nilai Mahasiswa'!W40*7.00/100,'Nilai Mahasiswa'!Y40*8.00/100)</f>
        <v/>
      </c>
      <c r="H40" s="3">
        <f>SUM(D40:G40)</f>
        <v/>
      </c>
    </row>
    <row r="41">
      <c r="A41" s="1" t="n">
        <v>38</v>
      </c>
      <c r="B41" s="1" t="n">
        <v>10231088</v>
      </c>
      <c r="C41" s="2" t="inlineStr">
        <is>
          <t>Tiya Mitra Ayu Purwanti</t>
        </is>
      </c>
      <c r="D41" s="1">
        <f>SUM('Nilai Mahasiswa'!D41*5.00/100,'Nilai Mahasiswa'!G41*4.00/100,'Nilai Mahasiswa'!N41*3.00/100,'Nilai Mahasiswa'!Q41*3.00/100)</f>
        <v/>
      </c>
      <c r="E41" s="1">
        <f>SUM('Nilai Mahasiswa'!E41*5.00/100,'Nilai Mahasiswa'!H41*4.00/100,'Nilai Mahasiswa'!J41*6.00/100,'Nilai Mahasiswa'!O41*3.00/100,'Nilai Mahasiswa'!R41*3.00/100,'Nilai Mahasiswa'!T41*4.00/100,'Nilai Mahasiswa'!V41*6.00/100,'Nilai Mahasiswa'!X41*4.00/100)</f>
        <v/>
      </c>
      <c r="F41" s="1">
        <f>SUM('Nilai Mahasiswa'!F41*5.00/100,'Nilai Mahasiswa'!I41*4.00/100,'Nilai Mahasiswa'!P41*3.00/100,'Nilai Mahasiswa'!S41*3.00/100)</f>
        <v/>
      </c>
      <c r="G41" s="1">
        <f>SUM('Nilai Mahasiswa'!K41*7.00/100,'Nilai Mahasiswa'!L41*4.00/100,'Nilai Mahasiswa'!M41*3.00/100,'Nilai Mahasiswa'!U41*6.00/100,'Nilai Mahasiswa'!W41*7.00/100,'Nilai Mahasiswa'!Y41*8.00/100)</f>
        <v/>
      </c>
      <c r="H41" s="3">
        <f>SUM(D41:G41)</f>
        <v/>
      </c>
    </row>
    <row r="42">
      <c r="A42" s="1" t="n">
        <v>39</v>
      </c>
      <c r="B42" s="1" t="n">
        <v>10231089</v>
      </c>
      <c r="C42" s="2" t="inlineStr">
        <is>
          <t>Varrel Kaleb Ropard Pasaribu</t>
        </is>
      </c>
      <c r="D42" s="1">
        <f>SUM('Nilai Mahasiswa'!D42*5.00/100,'Nilai Mahasiswa'!G42*4.00/100,'Nilai Mahasiswa'!N42*3.00/100,'Nilai Mahasiswa'!Q42*3.00/100)</f>
        <v/>
      </c>
      <c r="E42" s="1">
        <f>SUM('Nilai Mahasiswa'!E42*5.00/100,'Nilai Mahasiswa'!H42*4.00/100,'Nilai Mahasiswa'!J42*6.00/100,'Nilai Mahasiswa'!O42*3.00/100,'Nilai Mahasiswa'!R42*3.00/100,'Nilai Mahasiswa'!T42*4.00/100,'Nilai Mahasiswa'!V42*6.00/100,'Nilai Mahasiswa'!X42*4.00/100)</f>
        <v/>
      </c>
      <c r="F42" s="1">
        <f>SUM('Nilai Mahasiswa'!F42*5.00/100,'Nilai Mahasiswa'!I42*4.00/100,'Nilai Mahasiswa'!P42*3.00/100,'Nilai Mahasiswa'!S42*3.00/100)</f>
        <v/>
      </c>
      <c r="G42" s="1">
        <f>SUM('Nilai Mahasiswa'!K42*7.00/100,'Nilai Mahasiswa'!L42*4.00/100,'Nilai Mahasiswa'!M42*3.00/100,'Nilai Mahasiswa'!U42*6.00/100,'Nilai Mahasiswa'!W42*7.00/100,'Nilai Mahasiswa'!Y42*8.00/100)</f>
        <v/>
      </c>
      <c r="H42" s="3">
        <f>SUM(D42:G42)</f>
        <v/>
      </c>
    </row>
    <row r="43">
      <c r="A43" s="1" t="n">
        <v>40</v>
      </c>
      <c r="B43" s="1" t="n">
        <v>10231091</v>
      </c>
      <c r="C43" s="2" t="inlineStr">
        <is>
          <t>Yosan Pratiwi</t>
        </is>
      </c>
      <c r="D43" s="1">
        <f>SUM('Nilai Mahasiswa'!D43*5.00/100,'Nilai Mahasiswa'!G43*4.00/100,'Nilai Mahasiswa'!N43*3.00/100,'Nilai Mahasiswa'!Q43*3.00/100)</f>
        <v/>
      </c>
      <c r="E43" s="1">
        <f>SUM('Nilai Mahasiswa'!E43*5.00/100,'Nilai Mahasiswa'!H43*4.00/100,'Nilai Mahasiswa'!J43*6.00/100,'Nilai Mahasiswa'!O43*3.00/100,'Nilai Mahasiswa'!R43*3.00/100,'Nilai Mahasiswa'!T43*4.00/100,'Nilai Mahasiswa'!V43*6.00/100,'Nilai Mahasiswa'!X43*4.00/100)</f>
        <v/>
      </c>
      <c r="F43" s="1">
        <f>SUM('Nilai Mahasiswa'!F43*5.00/100,'Nilai Mahasiswa'!I43*4.00/100,'Nilai Mahasiswa'!P43*3.00/100,'Nilai Mahasiswa'!S43*3.00/100)</f>
        <v/>
      </c>
      <c r="G43" s="1">
        <f>SUM('Nilai Mahasiswa'!K43*7.00/100,'Nilai Mahasiswa'!L43*4.00/100,'Nilai Mahasiswa'!M43*3.00/100,'Nilai Mahasiswa'!U43*6.00/100,'Nilai Mahasiswa'!W43*7.00/100,'Nilai Mahasiswa'!Y43*8.00/100)</f>
        <v/>
      </c>
      <c r="H43" s="3">
        <f>SUM(D43:G43)</f>
        <v/>
      </c>
    </row>
    <row r="44">
      <c r="A44" s="1" t="n"/>
      <c r="B44" s="1" t="n"/>
      <c r="C44" s="2" t="inlineStr">
        <is>
          <t>RATA-RATA KELAS</t>
        </is>
      </c>
      <c r="D44" s="1">
        <f>AVERAGE(D4:D43)</f>
        <v/>
      </c>
      <c r="E44" s="1">
        <f>AVERAGE(E4:E43)</f>
        <v/>
      </c>
      <c r="F44" s="1">
        <f>AVERAGE(F4:F43)</f>
        <v/>
      </c>
      <c r="G44" s="1">
        <f>AVERAGE(G4:G43)</f>
        <v/>
      </c>
      <c r="H44" s="3">
        <f>AVERAGE(H4:H43)</f>
        <v/>
      </c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0" password="8B6E"/>
  <mergeCells count="1">
    <mergeCell ref="A1:H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1" showRowColHeaders="1" tabSelected="0"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:J3"/>
    </sheetView>
  </sheetViews>
  <sheetFormatPr baseColWidth="8" defaultRowHeight="14.4" outlineLevelRow="0"/>
  <cols>
    <col width="5" customWidth="1" style="7" min="1" max="1"/>
    <col width="12" customWidth="1" style="7" min="2" max="2"/>
    <col width="30" customWidth="1" style="7" min="3" max="3"/>
    <col width="20" customWidth="1" style="7" min="4" max="4"/>
    <col width="12" customWidth="1" style="7" min="5" max="5"/>
    <col width="20" customWidth="1" style="7" min="6" max="6"/>
    <col width="12" customWidth="1" style="7" min="7" max="7"/>
    <col width="19" customWidth="1" style="7" min="8" max="8"/>
    <col width="19" customWidth="1" style="7" min="9" max="9"/>
    <col width="10" customWidth="1" style="7" min="10" max="10"/>
  </cols>
  <sheetData>
    <row r="1" ht="25" customHeight="1" s="7">
      <c r="A1" s="4" t="inlineStr">
        <is>
          <t>RPS: Komputasi Awan - SI2514027 | Kelas: A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5" customHeight="1" s="7">
      <c r="A2" s="5" t="inlineStr">
        <is>
          <t>No</t>
        </is>
      </c>
      <c r="B2" s="5" t="inlineStr">
        <is>
          <t>NIM</t>
        </is>
      </c>
      <c r="C2" s="5" t="inlineStr">
        <is>
          <t>Nama Mahasiswa</t>
        </is>
      </c>
      <c r="D2" s="5" t="inlineStr">
        <is>
          <t>Tes / Ujian (Quiz)
(15%)</t>
        </is>
      </c>
      <c r="E2" s="5" t="inlineStr">
        <is>
          <t>Tugas
(36%)</t>
        </is>
      </c>
      <c r="F2" s="5" t="inlineStr">
        <is>
          <t>Sikap dan Profesionalisme
(15%)</t>
        </is>
      </c>
      <c r="G2" s="5" t="inlineStr">
        <is>
          <t>Proyek
(20%)</t>
        </is>
      </c>
      <c r="H2" s="5" t="inlineStr">
        <is>
          <t>Tes / Ujian (UTS)
(7%)</t>
        </is>
      </c>
      <c r="I2" s="5" t="inlineStr">
        <is>
          <t>Tes / Ujian (UAS)
(7%)</t>
        </is>
      </c>
      <c r="J2" s="5" t="inlineStr">
        <is>
          <t>Total</t>
        </is>
      </c>
    </row>
    <row r="3" ht="20" customHeight="1" s="7">
      <c r="A3" s="6" t="inlineStr">
        <is>
          <t>no</t>
        </is>
      </c>
      <c r="B3" s="6" t="inlineStr">
        <is>
          <t>nim</t>
        </is>
      </c>
      <c r="C3" s="6" t="inlineStr">
        <is>
          <t>nama_mahasiswa</t>
        </is>
      </c>
      <c r="D3" s="6" t="n">
        <v>15</v>
      </c>
      <c r="E3" s="6" t="n">
        <v>36</v>
      </c>
      <c r="F3" s="6" t="n">
        <v>15</v>
      </c>
      <c r="G3" s="6" t="n">
        <v>20</v>
      </c>
      <c r="H3" s="6" t="n">
        <v>7</v>
      </c>
      <c r="I3" s="6" t="n">
        <v>7</v>
      </c>
      <c r="J3" s="6" t="inlineStr">
        <is>
          <t>total</t>
        </is>
      </c>
    </row>
    <row r="4">
      <c r="A4" s="1" t="n">
        <v>1</v>
      </c>
      <c r="B4" s="1" t="n">
        <v>10211048</v>
      </c>
      <c r="C4" s="2" t="inlineStr">
        <is>
          <t>Legi,Raymond Imanuel</t>
        </is>
      </c>
      <c r="D4" s="1">
        <f>SUM('Nilai Mahasiswa'!D4*5.00/100,'Nilai Mahasiswa'!G4*4.00/100,'Nilai Mahasiswa'!N4*3.00/100,'Nilai Mahasiswa'!Q4*3.00/100)</f>
        <v/>
      </c>
      <c r="E4" s="1">
        <f>SUM('Nilai Mahasiswa'!E4*5.00/100,'Nilai Mahasiswa'!H4*4.00/100,'Nilai Mahasiswa'!L4*4.00/100,'Nilai Mahasiswa'!M4*3.00/100,'Nilai Mahasiswa'!O4*3.00/100,'Nilai Mahasiswa'!R4*3.00/100,'Nilai Mahasiswa'!U4*6.00/100,'Nilai Mahasiswa'!Y4*8.00/100)</f>
        <v/>
      </c>
      <c r="F4" s="1">
        <f>SUM('Nilai Mahasiswa'!F4*5.00/100,'Nilai Mahasiswa'!I4*4.00/100,'Nilai Mahasiswa'!P4*3.00/100,'Nilai Mahasiswa'!S4*3.00/100)</f>
        <v/>
      </c>
      <c r="G4" s="1">
        <f>SUM('Nilai Mahasiswa'!J4*6.00/100,'Nilai Mahasiswa'!T4*4.00/100,'Nilai Mahasiswa'!V4*6.00/100,'Nilai Mahasiswa'!X4*4.00/100)</f>
        <v/>
      </c>
      <c r="H4" s="1">
        <f>SUM('Nilai Mahasiswa'!K4*7.00/100)</f>
        <v/>
      </c>
      <c r="I4" s="1">
        <f>SUM('Nilai Mahasiswa'!W4*7.00/100)</f>
        <v/>
      </c>
      <c r="J4" s="3">
        <f>SUM(D4:I4)</f>
        <v/>
      </c>
    </row>
    <row r="5">
      <c r="A5" s="1" t="n">
        <v>2</v>
      </c>
      <c r="B5" s="1" t="n">
        <v>10231003</v>
      </c>
      <c r="C5" s="2" t="inlineStr">
        <is>
          <t>Adam Ibnu ramadhan</t>
        </is>
      </c>
      <c r="D5" s="1">
        <f>SUM('Nilai Mahasiswa'!D5*5.00/100,'Nilai Mahasiswa'!G5*4.00/100,'Nilai Mahasiswa'!N5*3.00/100,'Nilai Mahasiswa'!Q5*3.00/100)</f>
        <v/>
      </c>
      <c r="E5" s="1">
        <f>SUM('Nilai Mahasiswa'!E5*5.00/100,'Nilai Mahasiswa'!H5*4.00/100,'Nilai Mahasiswa'!L5*4.00/100,'Nilai Mahasiswa'!M5*3.00/100,'Nilai Mahasiswa'!O5*3.00/100,'Nilai Mahasiswa'!R5*3.00/100,'Nilai Mahasiswa'!U5*6.00/100,'Nilai Mahasiswa'!Y5*8.00/100)</f>
        <v/>
      </c>
      <c r="F5" s="1">
        <f>SUM('Nilai Mahasiswa'!F5*5.00/100,'Nilai Mahasiswa'!I5*4.00/100,'Nilai Mahasiswa'!P5*3.00/100,'Nilai Mahasiswa'!S5*3.00/100)</f>
        <v/>
      </c>
      <c r="G5" s="1">
        <f>SUM('Nilai Mahasiswa'!J5*6.00/100,'Nilai Mahasiswa'!T5*4.00/100,'Nilai Mahasiswa'!V5*6.00/100,'Nilai Mahasiswa'!X5*4.00/100)</f>
        <v/>
      </c>
      <c r="H5" s="1">
        <f>SUM('Nilai Mahasiswa'!K5*7.00/100)</f>
        <v/>
      </c>
      <c r="I5" s="1">
        <f>SUM('Nilai Mahasiswa'!W5*7.00/100)</f>
        <v/>
      </c>
      <c r="J5" s="3">
        <f>SUM(D5:I5)</f>
        <v/>
      </c>
    </row>
    <row r="6">
      <c r="A6" s="1" t="n">
        <v>3</v>
      </c>
      <c r="B6" s="1" t="n">
        <v>10231005</v>
      </c>
      <c r="C6" s="2" t="inlineStr">
        <is>
          <t>Adhyasta firdaus</t>
        </is>
      </c>
      <c r="D6" s="1">
        <f>SUM('Nilai Mahasiswa'!D6*5.00/100,'Nilai Mahasiswa'!G6*4.00/100,'Nilai Mahasiswa'!N6*3.00/100,'Nilai Mahasiswa'!Q6*3.00/100)</f>
        <v/>
      </c>
      <c r="E6" s="1">
        <f>SUM('Nilai Mahasiswa'!E6*5.00/100,'Nilai Mahasiswa'!H6*4.00/100,'Nilai Mahasiswa'!L6*4.00/100,'Nilai Mahasiswa'!M6*3.00/100,'Nilai Mahasiswa'!O6*3.00/100,'Nilai Mahasiswa'!R6*3.00/100,'Nilai Mahasiswa'!U6*6.00/100,'Nilai Mahasiswa'!Y6*8.00/100)</f>
        <v/>
      </c>
      <c r="F6" s="1">
        <f>SUM('Nilai Mahasiswa'!F6*5.00/100,'Nilai Mahasiswa'!I6*4.00/100,'Nilai Mahasiswa'!P6*3.00/100,'Nilai Mahasiswa'!S6*3.00/100)</f>
        <v/>
      </c>
      <c r="G6" s="1">
        <f>SUM('Nilai Mahasiswa'!J6*6.00/100,'Nilai Mahasiswa'!T6*4.00/100,'Nilai Mahasiswa'!V6*6.00/100,'Nilai Mahasiswa'!X6*4.00/100)</f>
        <v/>
      </c>
      <c r="H6" s="1">
        <f>SUM('Nilai Mahasiswa'!K6*7.00/100)</f>
        <v/>
      </c>
      <c r="I6" s="1">
        <f>SUM('Nilai Mahasiswa'!W6*7.00/100)</f>
        <v/>
      </c>
      <c r="J6" s="3">
        <f>SUM(D6:I6)</f>
        <v/>
      </c>
    </row>
    <row r="7">
      <c r="A7" s="1" t="n">
        <v>4</v>
      </c>
      <c r="B7" s="1" t="n">
        <v>10231007</v>
      </c>
      <c r="C7" s="2" t="inlineStr">
        <is>
          <t>Adonia Azarya Tamalonggehe</t>
        </is>
      </c>
      <c r="D7" s="1">
        <f>SUM('Nilai Mahasiswa'!D7*5.00/100,'Nilai Mahasiswa'!G7*4.00/100,'Nilai Mahasiswa'!N7*3.00/100,'Nilai Mahasiswa'!Q7*3.00/100)</f>
        <v/>
      </c>
      <c r="E7" s="1">
        <f>SUM('Nilai Mahasiswa'!E7*5.00/100,'Nilai Mahasiswa'!H7*4.00/100,'Nilai Mahasiswa'!L7*4.00/100,'Nilai Mahasiswa'!M7*3.00/100,'Nilai Mahasiswa'!O7*3.00/100,'Nilai Mahasiswa'!R7*3.00/100,'Nilai Mahasiswa'!U7*6.00/100,'Nilai Mahasiswa'!Y7*8.00/100)</f>
        <v/>
      </c>
      <c r="F7" s="1">
        <f>SUM('Nilai Mahasiswa'!F7*5.00/100,'Nilai Mahasiswa'!I7*4.00/100,'Nilai Mahasiswa'!P7*3.00/100,'Nilai Mahasiswa'!S7*3.00/100)</f>
        <v/>
      </c>
      <c r="G7" s="1">
        <f>SUM('Nilai Mahasiswa'!J7*6.00/100,'Nilai Mahasiswa'!T7*4.00/100,'Nilai Mahasiswa'!V7*6.00/100,'Nilai Mahasiswa'!X7*4.00/100)</f>
        <v/>
      </c>
      <c r="H7" s="1">
        <f>SUM('Nilai Mahasiswa'!K7*7.00/100)</f>
        <v/>
      </c>
      <c r="I7" s="1">
        <f>SUM('Nilai Mahasiswa'!W7*7.00/100)</f>
        <v/>
      </c>
      <c r="J7" s="3">
        <f>SUM(D7:I7)</f>
        <v/>
      </c>
    </row>
    <row r="8">
      <c r="A8" s="1" t="n">
        <v>5</v>
      </c>
      <c r="B8" s="1" t="n">
        <v>10231009</v>
      </c>
      <c r="C8" s="2" t="inlineStr">
        <is>
          <t>Alfian Fadillah Putra</t>
        </is>
      </c>
      <c r="D8" s="1">
        <f>SUM('Nilai Mahasiswa'!D8*5.00/100,'Nilai Mahasiswa'!G8*4.00/100,'Nilai Mahasiswa'!N8*3.00/100,'Nilai Mahasiswa'!Q8*3.00/100)</f>
        <v/>
      </c>
      <c r="E8" s="1">
        <f>SUM('Nilai Mahasiswa'!E8*5.00/100,'Nilai Mahasiswa'!H8*4.00/100,'Nilai Mahasiswa'!L8*4.00/100,'Nilai Mahasiswa'!M8*3.00/100,'Nilai Mahasiswa'!O8*3.00/100,'Nilai Mahasiswa'!R8*3.00/100,'Nilai Mahasiswa'!U8*6.00/100,'Nilai Mahasiswa'!Y8*8.00/100)</f>
        <v/>
      </c>
      <c r="F8" s="1">
        <f>SUM('Nilai Mahasiswa'!F8*5.00/100,'Nilai Mahasiswa'!I8*4.00/100,'Nilai Mahasiswa'!P8*3.00/100,'Nilai Mahasiswa'!S8*3.00/100)</f>
        <v/>
      </c>
      <c r="G8" s="1">
        <f>SUM('Nilai Mahasiswa'!J8*6.00/100,'Nilai Mahasiswa'!T8*4.00/100,'Nilai Mahasiswa'!V8*6.00/100,'Nilai Mahasiswa'!X8*4.00/100)</f>
        <v/>
      </c>
      <c r="H8" s="1">
        <f>SUM('Nilai Mahasiswa'!K8*7.00/100)</f>
        <v/>
      </c>
      <c r="I8" s="1">
        <f>SUM('Nilai Mahasiswa'!W8*7.00/100)</f>
        <v/>
      </c>
      <c r="J8" s="3">
        <f>SUM(D8:I8)</f>
        <v/>
      </c>
    </row>
    <row r="9">
      <c r="A9" s="1" t="n">
        <v>6</v>
      </c>
      <c r="B9" s="1" t="n">
        <v>10231011</v>
      </c>
      <c r="C9" s="2" t="inlineStr">
        <is>
          <t>Alsha Dwi Cahya</t>
        </is>
      </c>
      <c r="D9" s="1">
        <f>SUM('Nilai Mahasiswa'!D9*5.00/100,'Nilai Mahasiswa'!G9*4.00/100,'Nilai Mahasiswa'!N9*3.00/100,'Nilai Mahasiswa'!Q9*3.00/100)</f>
        <v/>
      </c>
      <c r="E9" s="1">
        <f>SUM('Nilai Mahasiswa'!E9*5.00/100,'Nilai Mahasiswa'!H9*4.00/100,'Nilai Mahasiswa'!L9*4.00/100,'Nilai Mahasiswa'!M9*3.00/100,'Nilai Mahasiswa'!O9*3.00/100,'Nilai Mahasiswa'!R9*3.00/100,'Nilai Mahasiswa'!U9*6.00/100,'Nilai Mahasiswa'!Y9*8.00/100)</f>
        <v/>
      </c>
      <c r="F9" s="1">
        <f>SUM('Nilai Mahasiswa'!F9*5.00/100,'Nilai Mahasiswa'!I9*4.00/100,'Nilai Mahasiswa'!P9*3.00/100,'Nilai Mahasiswa'!S9*3.00/100)</f>
        <v/>
      </c>
      <c r="G9" s="1">
        <f>SUM('Nilai Mahasiswa'!J9*6.00/100,'Nilai Mahasiswa'!T9*4.00/100,'Nilai Mahasiswa'!V9*6.00/100,'Nilai Mahasiswa'!X9*4.00/100)</f>
        <v/>
      </c>
      <c r="H9" s="1">
        <f>SUM('Nilai Mahasiswa'!K9*7.00/100)</f>
        <v/>
      </c>
      <c r="I9" s="1">
        <f>SUM('Nilai Mahasiswa'!W9*7.00/100)</f>
        <v/>
      </c>
      <c r="J9" s="3">
        <f>SUM(D9:I9)</f>
        <v/>
      </c>
    </row>
    <row r="10">
      <c r="A10" s="1" t="n">
        <v>7</v>
      </c>
      <c r="B10" s="1" t="n">
        <v>10231013</v>
      </c>
      <c r="C10" s="2" t="inlineStr">
        <is>
          <t>Amazia Devid Saputra</t>
        </is>
      </c>
      <c r="D10" s="1">
        <f>SUM('Nilai Mahasiswa'!D10*5.00/100,'Nilai Mahasiswa'!G10*4.00/100,'Nilai Mahasiswa'!N10*3.00/100,'Nilai Mahasiswa'!Q10*3.00/100)</f>
        <v/>
      </c>
      <c r="E10" s="1">
        <f>SUM('Nilai Mahasiswa'!E10*5.00/100,'Nilai Mahasiswa'!H10*4.00/100,'Nilai Mahasiswa'!L10*4.00/100,'Nilai Mahasiswa'!M10*3.00/100,'Nilai Mahasiswa'!O10*3.00/100,'Nilai Mahasiswa'!R10*3.00/100,'Nilai Mahasiswa'!U10*6.00/100,'Nilai Mahasiswa'!Y10*8.00/100)</f>
        <v/>
      </c>
      <c r="F10" s="1">
        <f>SUM('Nilai Mahasiswa'!F10*5.00/100,'Nilai Mahasiswa'!I10*4.00/100,'Nilai Mahasiswa'!P10*3.00/100,'Nilai Mahasiswa'!S10*3.00/100)</f>
        <v/>
      </c>
      <c r="G10" s="1">
        <f>SUM('Nilai Mahasiswa'!J10*6.00/100,'Nilai Mahasiswa'!T10*4.00/100,'Nilai Mahasiswa'!V10*6.00/100,'Nilai Mahasiswa'!X10*4.00/100)</f>
        <v/>
      </c>
      <c r="H10" s="1">
        <f>SUM('Nilai Mahasiswa'!K10*7.00/100)</f>
        <v/>
      </c>
      <c r="I10" s="1">
        <f>SUM('Nilai Mahasiswa'!W10*7.00/100)</f>
        <v/>
      </c>
      <c r="J10" s="3">
        <f>SUM(D10:I10)</f>
        <v/>
      </c>
    </row>
    <row r="11">
      <c r="A11" s="1" t="n">
        <v>8</v>
      </c>
      <c r="B11" s="1" t="n">
        <v>10231015</v>
      </c>
      <c r="C11" s="2" t="inlineStr">
        <is>
          <t>Andini Permata Sari</t>
        </is>
      </c>
      <c r="D11" s="1">
        <f>SUM('Nilai Mahasiswa'!D11*5.00/100,'Nilai Mahasiswa'!G11*4.00/100,'Nilai Mahasiswa'!N11*3.00/100,'Nilai Mahasiswa'!Q11*3.00/100)</f>
        <v/>
      </c>
      <c r="E11" s="1">
        <f>SUM('Nilai Mahasiswa'!E11*5.00/100,'Nilai Mahasiswa'!H11*4.00/100,'Nilai Mahasiswa'!L11*4.00/100,'Nilai Mahasiswa'!M11*3.00/100,'Nilai Mahasiswa'!O11*3.00/100,'Nilai Mahasiswa'!R11*3.00/100,'Nilai Mahasiswa'!U11*6.00/100,'Nilai Mahasiswa'!Y11*8.00/100)</f>
        <v/>
      </c>
      <c r="F11" s="1">
        <f>SUM('Nilai Mahasiswa'!F11*5.00/100,'Nilai Mahasiswa'!I11*4.00/100,'Nilai Mahasiswa'!P11*3.00/100,'Nilai Mahasiswa'!S11*3.00/100)</f>
        <v/>
      </c>
      <c r="G11" s="1">
        <f>SUM('Nilai Mahasiswa'!J11*6.00/100,'Nilai Mahasiswa'!T11*4.00/100,'Nilai Mahasiswa'!V11*6.00/100,'Nilai Mahasiswa'!X11*4.00/100)</f>
        <v/>
      </c>
      <c r="H11" s="1">
        <f>SUM('Nilai Mahasiswa'!K11*7.00/100)</f>
        <v/>
      </c>
      <c r="I11" s="1">
        <f>SUM('Nilai Mahasiswa'!W11*7.00/100)</f>
        <v/>
      </c>
      <c r="J11" s="3">
        <f>SUM(D11:I11)</f>
        <v/>
      </c>
    </row>
    <row r="12">
      <c r="A12" s="1" t="n">
        <v>9</v>
      </c>
      <c r="B12" s="1" t="n">
        <v>10231017</v>
      </c>
      <c r="C12" s="2" t="inlineStr">
        <is>
          <t>Ansellma Tita Pakartiwuri Putri</t>
        </is>
      </c>
      <c r="D12" s="1">
        <f>SUM('Nilai Mahasiswa'!D12*5.00/100,'Nilai Mahasiswa'!G12*4.00/100,'Nilai Mahasiswa'!N12*3.00/100,'Nilai Mahasiswa'!Q12*3.00/100)</f>
        <v/>
      </c>
      <c r="E12" s="1">
        <f>SUM('Nilai Mahasiswa'!E12*5.00/100,'Nilai Mahasiswa'!H12*4.00/100,'Nilai Mahasiswa'!L12*4.00/100,'Nilai Mahasiswa'!M12*3.00/100,'Nilai Mahasiswa'!O12*3.00/100,'Nilai Mahasiswa'!R12*3.00/100,'Nilai Mahasiswa'!U12*6.00/100,'Nilai Mahasiswa'!Y12*8.00/100)</f>
        <v/>
      </c>
      <c r="F12" s="1">
        <f>SUM('Nilai Mahasiswa'!F12*5.00/100,'Nilai Mahasiswa'!I12*4.00/100,'Nilai Mahasiswa'!P12*3.00/100,'Nilai Mahasiswa'!S12*3.00/100)</f>
        <v/>
      </c>
      <c r="G12" s="1">
        <f>SUM('Nilai Mahasiswa'!J12*6.00/100,'Nilai Mahasiswa'!T12*4.00/100,'Nilai Mahasiswa'!V12*6.00/100,'Nilai Mahasiswa'!X12*4.00/100)</f>
        <v/>
      </c>
      <c r="H12" s="1">
        <f>SUM('Nilai Mahasiswa'!K12*7.00/100)</f>
        <v/>
      </c>
      <c r="I12" s="1">
        <f>SUM('Nilai Mahasiswa'!W12*7.00/100)</f>
        <v/>
      </c>
      <c r="J12" s="3">
        <f>SUM(D12:I12)</f>
        <v/>
      </c>
    </row>
    <row r="13">
      <c r="A13" s="1" t="n">
        <v>10</v>
      </c>
      <c r="B13" s="1" t="n">
        <v>10231021</v>
      </c>
      <c r="C13" s="2" t="inlineStr">
        <is>
          <t>AVHILLA CATTON ANDALUCIA</t>
        </is>
      </c>
      <c r="D13" s="1">
        <f>SUM('Nilai Mahasiswa'!D13*5.00/100,'Nilai Mahasiswa'!G13*4.00/100,'Nilai Mahasiswa'!N13*3.00/100,'Nilai Mahasiswa'!Q13*3.00/100)</f>
        <v/>
      </c>
      <c r="E13" s="1">
        <f>SUM('Nilai Mahasiswa'!E13*5.00/100,'Nilai Mahasiswa'!H13*4.00/100,'Nilai Mahasiswa'!L13*4.00/100,'Nilai Mahasiswa'!M13*3.00/100,'Nilai Mahasiswa'!O13*3.00/100,'Nilai Mahasiswa'!R13*3.00/100,'Nilai Mahasiswa'!U13*6.00/100,'Nilai Mahasiswa'!Y13*8.00/100)</f>
        <v/>
      </c>
      <c r="F13" s="1">
        <f>SUM('Nilai Mahasiswa'!F13*5.00/100,'Nilai Mahasiswa'!I13*4.00/100,'Nilai Mahasiswa'!P13*3.00/100,'Nilai Mahasiswa'!S13*3.00/100)</f>
        <v/>
      </c>
      <c r="G13" s="1">
        <f>SUM('Nilai Mahasiswa'!J13*6.00/100,'Nilai Mahasiswa'!T13*4.00/100,'Nilai Mahasiswa'!V13*6.00/100,'Nilai Mahasiswa'!X13*4.00/100)</f>
        <v/>
      </c>
      <c r="H13" s="1">
        <f>SUM('Nilai Mahasiswa'!K13*7.00/100)</f>
        <v/>
      </c>
      <c r="I13" s="1">
        <f>SUM('Nilai Mahasiswa'!W13*7.00/100)</f>
        <v/>
      </c>
      <c r="J13" s="3">
        <f>SUM(D13:I13)</f>
        <v/>
      </c>
    </row>
    <row r="14">
      <c r="A14" s="1" t="n">
        <v>11</v>
      </c>
      <c r="B14" s="1" t="n">
        <v>10231023</v>
      </c>
      <c r="C14" s="2" t="inlineStr">
        <is>
          <t>Betran</t>
        </is>
      </c>
      <c r="D14" s="1">
        <f>SUM('Nilai Mahasiswa'!D14*5.00/100,'Nilai Mahasiswa'!G14*4.00/100,'Nilai Mahasiswa'!N14*3.00/100,'Nilai Mahasiswa'!Q14*3.00/100)</f>
        <v/>
      </c>
      <c r="E14" s="1">
        <f>SUM('Nilai Mahasiswa'!E14*5.00/100,'Nilai Mahasiswa'!H14*4.00/100,'Nilai Mahasiswa'!L14*4.00/100,'Nilai Mahasiswa'!M14*3.00/100,'Nilai Mahasiswa'!O14*3.00/100,'Nilai Mahasiswa'!R14*3.00/100,'Nilai Mahasiswa'!U14*6.00/100,'Nilai Mahasiswa'!Y14*8.00/100)</f>
        <v/>
      </c>
      <c r="F14" s="1">
        <f>SUM('Nilai Mahasiswa'!F14*5.00/100,'Nilai Mahasiswa'!I14*4.00/100,'Nilai Mahasiswa'!P14*3.00/100,'Nilai Mahasiswa'!S14*3.00/100)</f>
        <v/>
      </c>
      <c r="G14" s="1">
        <f>SUM('Nilai Mahasiswa'!J14*6.00/100,'Nilai Mahasiswa'!T14*4.00/100,'Nilai Mahasiswa'!V14*6.00/100,'Nilai Mahasiswa'!X14*4.00/100)</f>
        <v/>
      </c>
      <c r="H14" s="1">
        <f>SUM('Nilai Mahasiswa'!K14*7.00/100)</f>
        <v/>
      </c>
      <c r="I14" s="1">
        <f>SUM('Nilai Mahasiswa'!W14*7.00/100)</f>
        <v/>
      </c>
      <c r="J14" s="3">
        <f>SUM(D14:I14)</f>
        <v/>
      </c>
    </row>
    <row r="15">
      <c r="A15" s="1" t="n">
        <v>12</v>
      </c>
      <c r="B15" s="1" t="n">
        <v>10231025</v>
      </c>
      <c r="C15" s="2" t="inlineStr">
        <is>
          <t>Chelsy Olivia</t>
        </is>
      </c>
      <c r="D15" s="1">
        <f>SUM('Nilai Mahasiswa'!D15*5.00/100,'Nilai Mahasiswa'!G15*4.00/100,'Nilai Mahasiswa'!N15*3.00/100,'Nilai Mahasiswa'!Q15*3.00/100)</f>
        <v/>
      </c>
      <c r="E15" s="1">
        <f>SUM('Nilai Mahasiswa'!E15*5.00/100,'Nilai Mahasiswa'!H15*4.00/100,'Nilai Mahasiswa'!L15*4.00/100,'Nilai Mahasiswa'!M15*3.00/100,'Nilai Mahasiswa'!O15*3.00/100,'Nilai Mahasiswa'!R15*3.00/100,'Nilai Mahasiswa'!U15*6.00/100,'Nilai Mahasiswa'!Y15*8.00/100)</f>
        <v/>
      </c>
      <c r="F15" s="1">
        <f>SUM('Nilai Mahasiswa'!F15*5.00/100,'Nilai Mahasiswa'!I15*4.00/100,'Nilai Mahasiswa'!P15*3.00/100,'Nilai Mahasiswa'!S15*3.00/100)</f>
        <v/>
      </c>
      <c r="G15" s="1">
        <f>SUM('Nilai Mahasiswa'!J15*6.00/100,'Nilai Mahasiswa'!T15*4.00/100,'Nilai Mahasiswa'!V15*6.00/100,'Nilai Mahasiswa'!X15*4.00/100)</f>
        <v/>
      </c>
      <c r="H15" s="1">
        <f>SUM('Nilai Mahasiswa'!K15*7.00/100)</f>
        <v/>
      </c>
      <c r="I15" s="1">
        <f>SUM('Nilai Mahasiswa'!W15*7.00/100)</f>
        <v/>
      </c>
      <c r="J15" s="3">
        <f>SUM(D15:I15)</f>
        <v/>
      </c>
    </row>
    <row r="16">
      <c r="A16" s="1" t="n">
        <v>13</v>
      </c>
      <c r="B16" s="1" t="n">
        <v>10231029</v>
      </c>
      <c r="C16" s="2" t="inlineStr">
        <is>
          <t>Debora Intania Subekti</t>
        </is>
      </c>
      <c r="D16" s="1">
        <f>SUM('Nilai Mahasiswa'!D16*5.00/100,'Nilai Mahasiswa'!G16*4.00/100,'Nilai Mahasiswa'!N16*3.00/100,'Nilai Mahasiswa'!Q16*3.00/100)</f>
        <v/>
      </c>
      <c r="E16" s="1">
        <f>SUM('Nilai Mahasiswa'!E16*5.00/100,'Nilai Mahasiswa'!H16*4.00/100,'Nilai Mahasiswa'!L16*4.00/100,'Nilai Mahasiswa'!M16*3.00/100,'Nilai Mahasiswa'!O16*3.00/100,'Nilai Mahasiswa'!R16*3.00/100,'Nilai Mahasiswa'!U16*6.00/100,'Nilai Mahasiswa'!Y16*8.00/100)</f>
        <v/>
      </c>
      <c r="F16" s="1">
        <f>SUM('Nilai Mahasiswa'!F16*5.00/100,'Nilai Mahasiswa'!I16*4.00/100,'Nilai Mahasiswa'!P16*3.00/100,'Nilai Mahasiswa'!S16*3.00/100)</f>
        <v/>
      </c>
      <c r="G16" s="1">
        <f>SUM('Nilai Mahasiswa'!J16*6.00/100,'Nilai Mahasiswa'!T16*4.00/100,'Nilai Mahasiswa'!V16*6.00/100,'Nilai Mahasiswa'!X16*4.00/100)</f>
        <v/>
      </c>
      <c r="H16" s="1">
        <f>SUM('Nilai Mahasiswa'!K16*7.00/100)</f>
        <v/>
      </c>
      <c r="I16" s="1">
        <f>SUM('Nilai Mahasiswa'!W16*7.00/100)</f>
        <v/>
      </c>
      <c r="J16" s="3">
        <f>SUM(D16:I16)</f>
        <v/>
      </c>
    </row>
    <row r="17">
      <c r="A17" s="1" t="n">
        <v>14</v>
      </c>
      <c r="B17" s="1" t="n">
        <v>10231031</v>
      </c>
      <c r="C17" s="2" t="inlineStr">
        <is>
          <t>DHIYA AFIFAH</t>
        </is>
      </c>
      <c r="D17" s="1">
        <f>SUM('Nilai Mahasiswa'!D17*5.00/100,'Nilai Mahasiswa'!G17*4.00/100,'Nilai Mahasiswa'!N17*3.00/100,'Nilai Mahasiswa'!Q17*3.00/100)</f>
        <v/>
      </c>
      <c r="E17" s="1">
        <f>SUM('Nilai Mahasiswa'!E17*5.00/100,'Nilai Mahasiswa'!H17*4.00/100,'Nilai Mahasiswa'!L17*4.00/100,'Nilai Mahasiswa'!M17*3.00/100,'Nilai Mahasiswa'!O17*3.00/100,'Nilai Mahasiswa'!R17*3.00/100,'Nilai Mahasiswa'!U17*6.00/100,'Nilai Mahasiswa'!Y17*8.00/100)</f>
        <v/>
      </c>
      <c r="F17" s="1">
        <f>SUM('Nilai Mahasiswa'!F17*5.00/100,'Nilai Mahasiswa'!I17*4.00/100,'Nilai Mahasiswa'!P17*3.00/100,'Nilai Mahasiswa'!S17*3.00/100)</f>
        <v/>
      </c>
      <c r="G17" s="1">
        <f>SUM('Nilai Mahasiswa'!J17*6.00/100,'Nilai Mahasiswa'!T17*4.00/100,'Nilai Mahasiswa'!V17*6.00/100,'Nilai Mahasiswa'!X17*4.00/100)</f>
        <v/>
      </c>
      <c r="H17" s="1">
        <f>SUM('Nilai Mahasiswa'!K17*7.00/100)</f>
        <v/>
      </c>
      <c r="I17" s="1">
        <f>SUM('Nilai Mahasiswa'!W17*7.00/100)</f>
        <v/>
      </c>
      <c r="J17" s="3">
        <f>SUM(D17:I17)</f>
        <v/>
      </c>
    </row>
    <row r="18">
      <c r="A18" s="1" t="n">
        <v>15</v>
      </c>
      <c r="B18" s="1" t="n">
        <v>10231035</v>
      </c>
      <c r="C18" s="2" t="inlineStr">
        <is>
          <t>Dzaky Rasyiq Zuhair</t>
        </is>
      </c>
      <c r="D18" s="1">
        <f>SUM('Nilai Mahasiswa'!D18*5.00/100,'Nilai Mahasiswa'!G18*4.00/100,'Nilai Mahasiswa'!N18*3.00/100,'Nilai Mahasiswa'!Q18*3.00/100)</f>
        <v/>
      </c>
      <c r="E18" s="1">
        <f>SUM('Nilai Mahasiswa'!E18*5.00/100,'Nilai Mahasiswa'!H18*4.00/100,'Nilai Mahasiswa'!L18*4.00/100,'Nilai Mahasiswa'!M18*3.00/100,'Nilai Mahasiswa'!O18*3.00/100,'Nilai Mahasiswa'!R18*3.00/100,'Nilai Mahasiswa'!U18*6.00/100,'Nilai Mahasiswa'!Y18*8.00/100)</f>
        <v/>
      </c>
      <c r="F18" s="1">
        <f>SUM('Nilai Mahasiswa'!F18*5.00/100,'Nilai Mahasiswa'!I18*4.00/100,'Nilai Mahasiswa'!P18*3.00/100,'Nilai Mahasiswa'!S18*3.00/100)</f>
        <v/>
      </c>
      <c r="G18" s="1">
        <f>SUM('Nilai Mahasiswa'!J18*6.00/100,'Nilai Mahasiswa'!T18*4.00/100,'Nilai Mahasiswa'!V18*6.00/100,'Nilai Mahasiswa'!X18*4.00/100)</f>
        <v/>
      </c>
      <c r="H18" s="1">
        <f>SUM('Nilai Mahasiswa'!K18*7.00/100)</f>
        <v/>
      </c>
      <c r="I18" s="1">
        <f>SUM('Nilai Mahasiswa'!W18*7.00/100)</f>
        <v/>
      </c>
      <c r="J18" s="3">
        <f>SUM(D18:I18)</f>
        <v/>
      </c>
    </row>
    <row r="19">
      <c r="A19" s="1" t="n">
        <v>16</v>
      </c>
      <c r="B19" s="1" t="n">
        <v>10231039</v>
      </c>
      <c r="C19" s="2" t="inlineStr">
        <is>
          <t>Gabriel Karmen Sanggalangi</t>
        </is>
      </c>
      <c r="D19" s="1">
        <f>SUM('Nilai Mahasiswa'!D19*5.00/100,'Nilai Mahasiswa'!G19*4.00/100,'Nilai Mahasiswa'!N19*3.00/100,'Nilai Mahasiswa'!Q19*3.00/100)</f>
        <v/>
      </c>
      <c r="E19" s="1">
        <f>SUM('Nilai Mahasiswa'!E19*5.00/100,'Nilai Mahasiswa'!H19*4.00/100,'Nilai Mahasiswa'!L19*4.00/100,'Nilai Mahasiswa'!M19*3.00/100,'Nilai Mahasiswa'!O19*3.00/100,'Nilai Mahasiswa'!R19*3.00/100,'Nilai Mahasiswa'!U19*6.00/100,'Nilai Mahasiswa'!Y19*8.00/100)</f>
        <v/>
      </c>
      <c r="F19" s="1">
        <f>SUM('Nilai Mahasiswa'!F19*5.00/100,'Nilai Mahasiswa'!I19*4.00/100,'Nilai Mahasiswa'!P19*3.00/100,'Nilai Mahasiswa'!S19*3.00/100)</f>
        <v/>
      </c>
      <c r="G19" s="1">
        <f>SUM('Nilai Mahasiswa'!J19*6.00/100,'Nilai Mahasiswa'!T19*4.00/100,'Nilai Mahasiswa'!V19*6.00/100,'Nilai Mahasiswa'!X19*4.00/100)</f>
        <v/>
      </c>
      <c r="H19" s="1">
        <f>SUM('Nilai Mahasiswa'!K19*7.00/100)</f>
        <v/>
      </c>
      <c r="I19" s="1">
        <f>SUM('Nilai Mahasiswa'!W19*7.00/100)</f>
        <v/>
      </c>
      <c r="J19" s="3">
        <f>SUM(D19:I19)</f>
        <v/>
      </c>
    </row>
    <row r="20">
      <c r="A20" s="1" t="n">
        <v>17</v>
      </c>
      <c r="B20" s="1" t="n">
        <v>10231041</v>
      </c>
      <c r="C20" s="2" t="inlineStr">
        <is>
          <t>Ika Agustin Wulandari</t>
        </is>
      </c>
      <c r="D20" s="1">
        <f>SUM('Nilai Mahasiswa'!D20*5.00/100,'Nilai Mahasiswa'!G20*4.00/100,'Nilai Mahasiswa'!N20*3.00/100,'Nilai Mahasiswa'!Q20*3.00/100)</f>
        <v/>
      </c>
      <c r="E20" s="1">
        <f>SUM('Nilai Mahasiswa'!E20*5.00/100,'Nilai Mahasiswa'!H20*4.00/100,'Nilai Mahasiswa'!L20*4.00/100,'Nilai Mahasiswa'!M20*3.00/100,'Nilai Mahasiswa'!O20*3.00/100,'Nilai Mahasiswa'!R20*3.00/100,'Nilai Mahasiswa'!U20*6.00/100,'Nilai Mahasiswa'!Y20*8.00/100)</f>
        <v/>
      </c>
      <c r="F20" s="1">
        <f>SUM('Nilai Mahasiswa'!F20*5.00/100,'Nilai Mahasiswa'!I20*4.00/100,'Nilai Mahasiswa'!P20*3.00/100,'Nilai Mahasiswa'!S20*3.00/100)</f>
        <v/>
      </c>
      <c r="G20" s="1">
        <f>SUM('Nilai Mahasiswa'!J20*6.00/100,'Nilai Mahasiswa'!T20*4.00/100,'Nilai Mahasiswa'!V20*6.00/100,'Nilai Mahasiswa'!X20*4.00/100)</f>
        <v/>
      </c>
      <c r="H20" s="1">
        <f>SUM('Nilai Mahasiswa'!K20*7.00/100)</f>
        <v/>
      </c>
      <c r="I20" s="1">
        <f>SUM('Nilai Mahasiswa'!W20*7.00/100)</f>
        <v/>
      </c>
      <c r="J20" s="3">
        <f>SUM(D20:I20)</f>
        <v/>
      </c>
    </row>
    <row r="21">
      <c r="A21" s="1" t="n">
        <v>18</v>
      </c>
      <c r="B21" s="1" t="n">
        <v>10231043</v>
      </c>
      <c r="C21" s="2" t="inlineStr">
        <is>
          <t>Incha Raghil</t>
        </is>
      </c>
      <c r="D21" s="1">
        <f>SUM('Nilai Mahasiswa'!D21*5.00/100,'Nilai Mahasiswa'!G21*4.00/100,'Nilai Mahasiswa'!N21*3.00/100,'Nilai Mahasiswa'!Q21*3.00/100)</f>
        <v/>
      </c>
      <c r="E21" s="1">
        <f>SUM('Nilai Mahasiswa'!E21*5.00/100,'Nilai Mahasiswa'!H21*4.00/100,'Nilai Mahasiswa'!L21*4.00/100,'Nilai Mahasiswa'!M21*3.00/100,'Nilai Mahasiswa'!O21*3.00/100,'Nilai Mahasiswa'!R21*3.00/100,'Nilai Mahasiswa'!U21*6.00/100,'Nilai Mahasiswa'!Y21*8.00/100)</f>
        <v/>
      </c>
      <c r="F21" s="1">
        <f>SUM('Nilai Mahasiswa'!F21*5.00/100,'Nilai Mahasiswa'!I21*4.00/100,'Nilai Mahasiswa'!P21*3.00/100,'Nilai Mahasiswa'!S21*3.00/100)</f>
        <v/>
      </c>
      <c r="G21" s="1">
        <f>SUM('Nilai Mahasiswa'!J21*6.00/100,'Nilai Mahasiswa'!T21*4.00/100,'Nilai Mahasiswa'!V21*6.00/100,'Nilai Mahasiswa'!X21*4.00/100)</f>
        <v/>
      </c>
      <c r="H21" s="1">
        <f>SUM('Nilai Mahasiswa'!K21*7.00/100)</f>
        <v/>
      </c>
      <c r="I21" s="1">
        <f>SUM('Nilai Mahasiswa'!W21*7.00/100)</f>
        <v/>
      </c>
      <c r="J21" s="3">
        <f>SUM(D21:I21)</f>
        <v/>
      </c>
    </row>
    <row r="22">
      <c r="A22" s="1" t="n">
        <v>19</v>
      </c>
      <c r="B22" s="1" t="n">
        <v>10231045</v>
      </c>
      <c r="C22" s="2" t="inlineStr">
        <is>
          <t>Irfan Zaki Riyanto</t>
        </is>
      </c>
      <c r="D22" s="1">
        <f>SUM('Nilai Mahasiswa'!D22*5.00/100,'Nilai Mahasiswa'!G22*4.00/100,'Nilai Mahasiswa'!N22*3.00/100,'Nilai Mahasiswa'!Q22*3.00/100)</f>
        <v/>
      </c>
      <c r="E22" s="1">
        <f>SUM('Nilai Mahasiswa'!E22*5.00/100,'Nilai Mahasiswa'!H22*4.00/100,'Nilai Mahasiswa'!L22*4.00/100,'Nilai Mahasiswa'!M22*3.00/100,'Nilai Mahasiswa'!O22*3.00/100,'Nilai Mahasiswa'!R22*3.00/100,'Nilai Mahasiswa'!U22*6.00/100,'Nilai Mahasiswa'!Y22*8.00/100)</f>
        <v/>
      </c>
      <c r="F22" s="1">
        <f>SUM('Nilai Mahasiswa'!F22*5.00/100,'Nilai Mahasiswa'!I22*4.00/100,'Nilai Mahasiswa'!P22*3.00/100,'Nilai Mahasiswa'!S22*3.00/100)</f>
        <v/>
      </c>
      <c r="G22" s="1">
        <f>SUM('Nilai Mahasiswa'!J22*6.00/100,'Nilai Mahasiswa'!T22*4.00/100,'Nilai Mahasiswa'!V22*6.00/100,'Nilai Mahasiswa'!X22*4.00/100)</f>
        <v/>
      </c>
      <c r="H22" s="1">
        <f>SUM('Nilai Mahasiswa'!K22*7.00/100)</f>
        <v/>
      </c>
      <c r="I22" s="1">
        <f>SUM('Nilai Mahasiswa'!W22*7.00/100)</f>
        <v/>
      </c>
      <c r="J22" s="3">
        <f>SUM(D22:I22)</f>
        <v/>
      </c>
    </row>
    <row r="23">
      <c r="A23" s="1" t="n">
        <v>20</v>
      </c>
      <c r="B23" s="1" t="n">
        <v>10231047</v>
      </c>
      <c r="C23" s="2" t="inlineStr">
        <is>
          <t>Jonathan Cristopher Jetro</t>
        </is>
      </c>
      <c r="D23" s="1">
        <f>SUM('Nilai Mahasiswa'!D23*5.00/100,'Nilai Mahasiswa'!G23*4.00/100,'Nilai Mahasiswa'!N23*3.00/100,'Nilai Mahasiswa'!Q23*3.00/100)</f>
        <v/>
      </c>
      <c r="E23" s="1">
        <f>SUM('Nilai Mahasiswa'!E23*5.00/100,'Nilai Mahasiswa'!H23*4.00/100,'Nilai Mahasiswa'!L23*4.00/100,'Nilai Mahasiswa'!M23*3.00/100,'Nilai Mahasiswa'!O23*3.00/100,'Nilai Mahasiswa'!R23*3.00/100,'Nilai Mahasiswa'!U23*6.00/100,'Nilai Mahasiswa'!Y23*8.00/100)</f>
        <v/>
      </c>
      <c r="F23" s="1">
        <f>SUM('Nilai Mahasiswa'!F23*5.00/100,'Nilai Mahasiswa'!I23*4.00/100,'Nilai Mahasiswa'!P23*3.00/100,'Nilai Mahasiswa'!S23*3.00/100)</f>
        <v/>
      </c>
      <c r="G23" s="1">
        <f>SUM('Nilai Mahasiswa'!J23*6.00/100,'Nilai Mahasiswa'!T23*4.00/100,'Nilai Mahasiswa'!V23*6.00/100,'Nilai Mahasiswa'!X23*4.00/100)</f>
        <v/>
      </c>
      <c r="H23" s="1">
        <f>SUM('Nilai Mahasiswa'!K23*7.00/100)</f>
        <v/>
      </c>
      <c r="I23" s="1">
        <f>SUM('Nilai Mahasiswa'!W23*7.00/100)</f>
        <v/>
      </c>
      <c r="J23" s="3">
        <f>SUM(D23:I23)</f>
        <v/>
      </c>
    </row>
    <row r="24">
      <c r="A24" s="1" t="n">
        <v>21</v>
      </c>
      <c r="B24" s="1" t="n">
        <v>10231048</v>
      </c>
      <c r="C24" s="2" t="inlineStr">
        <is>
          <t>Jonathan Joseph Yudita Tampubolon</t>
        </is>
      </c>
      <c r="D24" s="1">
        <f>SUM('Nilai Mahasiswa'!D24*5.00/100,'Nilai Mahasiswa'!G24*4.00/100,'Nilai Mahasiswa'!N24*3.00/100,'Nilai Mahasiswa'!Q24*3.00/100)</f>
        <v/>
      </c>
      <c r="E24" s="1">
        <f>SUM('Nilai Mahasiswa'!E24*5.00/100,'Nilai Mahasiswa'!H24*4.00/100,'Nilai Mahasiswa'!L24*4.00/100,'Nilai Mahasiswa'!M24*3.00/100,'Nilai Mahasiswa'!O24*3.00/100,'Nilai Mahasiswa'!R24*3.00/100,'Nilai Mahasiswa'!U24*6.00/100,'Nilai Mahasiswa'!Y24*8.00/100)</f>
        <v/>
      </c>
      <c r="F24" s="1">
        <f>SUM('Nilai Mahasiswa'!F24*5.00/100,'Nilai Mahasiswa'!I24*4.00/100,'Nilai Mahasiswa'!P24*3.00/100,'Nilai Mahasiswa'!S24*3.00/100)</f>
        <v/>
      </c>
      <c r="G24" s="1">
        <f>SUM('Nilai Mahasiswa'!J24*6.00/100,'Nilai Mahasiswa'!T24*4.00/100,'Nilai Mahasiswa'!V24*6.00/100,'Nilai Mahasiswa'!X24*4.00/100)</f>
        <v/>
      </c>
      <c r="H24" s="1">
        <f>SUM('Nilai Mahasiswa'!K24*7.00/100)</f>
        <v/>
      </c>
      <c r="I24" s="1">
        <f>SUM('Nilai Mahasiswa'!W24*7.00/100)</f>
        <v/>
      </c>
      <c r="J24" s="3">
        <f>SUM(D24:I24)</f>
        <v/>
      </c>
    </row>
    <row r="25">
      <c r="A25" s="1" t="n">
        <v>22</v>
      </c>
      <c r="B25" s="1" t="n">
        <v>10231049</v>
      </c>
      <c r="C25" s="2" t="inlineStr">
        <is>
          <t>Khanza Nabila Tsabita</t>
        </is>
      </c>
      <c r="D25" s="1">
        <f>SUM('Nilai Mahasiswa'!D25*5.00/100,'Nilai Mahasiswa'!G25*4.00/100,'Nilai Mahasiswa'!N25*3.00/100,'Nilai Mahasiswa'!Q25*3.00/100)</f>
        <v/>
      </c>
      <c r="E25" s="1">
        <f>SUM('Nilai Mahasiswa'!E25*5.00/100,'Nilai Mahasiswa'!H25*4.00/100,'Nilai Mahasiswa'!L25*4.00/100,'Nilai Mahasiswa'!M25*3.00/100,'Nilai Mahasiswa'!O25*3.00/100,'Nilai Mahasiswa'!R25*3.00/100,'Nilai Mahasiswa'!U25*6.00/100,'Nilai Mahasiswa'!Y25*8.00/100)</f>
        <v/>
      </c>
      <c r="F25" s="1">
        <f>SUM('Nilai Mahasiswa'!F25*5.00/100,'Nilai Mahasiswa'!I25*4.00/100,'Nilai Mahasiswa'!P25*3.00/100,'Nilai Mahasiswa'!S25*3.00/100)</f>
        <v/>
      </c>
      <c r="G25" s="1">
        <f>SUM('Nilai Mahasiswa'!J25*6.00/100,'Nilai Mahasiswa'!T25*4.00/100,'Nilai Mahasiswa'!V25*6.00/100,'Nilai Mahasiswa'!X25*4.00/100)</f>
        <v/>
      </c>
      <c r="H25" s="1">
        <f>SUM('Nilai Mahasiswa'!K25*7.00/100)</f>
        <v/>
      </c>
      <c r="I25" s="1">
        <f>SUM('Nilai Mahasiswa'!W25*7.00/100)</f>
        <v/>
      </c>
      <c r="J25" s="3">
        <f>SUM(D25:I25)</f>
        <v/>
      </c>
    </row>
    <row r="26">
      <c r="A26" s="1" t="n">
        <v>23</v>
      </c>
      <c r="B26" s="1" t="n">
        <v>10231051</v>
      </c>
      <c r="C26" s="2" t="inlineStr">
        <is>
          <t>Maulana Malik Ibrahim</t>
        </is>
      </c>
      <c r="D26" s="1">
        <f>SUM('Nilai Mahasiswa'!D26*5.00/100,'Nilai Mahasiswa'!G26*4.00/100,'Nilai Mahasiswa'!N26*3.00/100,'Nilai Mahasiswa'!Q26*3.00/100)</f>
        <v/>
      </c>
      <c r="E26" s="1">
        <f>SUM('Nilai Mahasiswa'!E26*5.00/100,'Nilai Mahasiswa'!H26*4.00/100,'Nilai Mahasiswa'!L26*4.00/100,'Nilai Mahasiswa'!M26*3.00/100,'Nilai Mahasiswa'!O26*3.00/100,'Nilai Mahasiswa'!R26*3.00/100,'Nilai Mahasiswa'!U26*6.00/100,'Nilai Mahasiswa'!Y26*8.00/100)</f>
        <v/>
      </c>
      <c r="F26" s="1">
        <f>SUM('Nilai Mahasiswa'!F26*5.00/100,'Nilai Mahasiswa'!I26*4.00/100,'Nilai Mahasiswa'!P26*3.00/100,'Nilai Mahasiswa'!S26*3.00/100)</f>
        <v/>
      </c>
      <c r="G26" s="1">
        <f>SUM('Nilai Mahasiswa'!J26*6.00/100,'Nilai Mahasiswa'!T26*4.00/100,'Nilai Mahasiswa'!V26*6.00/100,'Nilai Mahasiswa'!X26*4.00/100)</f>
        <v/>
      </c>
      <c r="H26" s="1">
        <f>SUM('Nilai Mahasiswa'!K26*7.00/100)</f>
        <v/>
      </c>
      <c r="I26" s="1">
        <f>SUM('Nilai Mahasiswa'!W26*7.00/100)</f>
        <v/>
      </c>
      <c r="J26" s="3">
        <f>SUM(D26:I26)</f>
        <v/>
      </c>
    </row>
    <row r="27">
      <c r="A27" s="1" t="n">
        <v>24</v>
      </c>
      <c r="B27" s="1" t="n">
        <v>10231053</v>
      </c>
      <c r="C27" s="2" t="inlineStr">
        <is>
          <t>Micka Mayulia Utama</t>
        </is>
      </c>
      <c r="D27" s="1">
        <f>SUM('Nilai Mahasiswa'!D27*5.00/100,'Nilai Mahasiswa'!G27*4.00/100,'Nilai Mahasiswa'!N27*3.00/100,'Nilai Mahasiswa'!Q27*3.00/100)</f>
        <v/>
      </c>
      <c r="E27" s="1">
        <f>SUM('Nilai Mahasiswa'!E27*5.00/100,'Nilai Mahasiswa'!H27*4.00/100,'Nilai Mahasiswa'!L27*4.00/100,'Nilai Mahasiswa'!M27*3.00/100,'Nilai Mahasiswa'!O27*3.00/100,'Nilai Mahasiswa'!R27*3.00/100,'Nilai Mahasiswa'!U27*6.00/100,'Nilai Mahasiswa'!Y27*8.00/100)</f>
        <v/>
      </c>
      <c r="F27" s="1">
        <f>SUM('Nilai Mahasiswa'!F27*5.00/100,'Nilai Mahasiswa'!I27*4.00/100,'Nilai Mahasiswa'!P27*3.00/100,'Nilai Mahasiswa'!S27*3.00/100)</f>
        <v/>
      </c>
      <c r="G27" s="1">
        <f>SUM('Nilai Mahasiswa'!J27*6.00/100,'Nilai Mahasiswa'!T27*4.00/100,'Nilai Mahasiswa'!V27*6.00/100,'Nilai Mahasiswa'!X27*4.00/100)</f>
        <v/>
      </c>
      <c r="H27" s="1">
        <f>SUM('Nilai Mahasiswa'!K27*7.00/100)</f>
        <v/>
      </c>
      <c r="I27" s="1">
        <f>SUM('Nilai Mahasiswa'!W27*7.00/100)</f>
        <v/>
      </c>
      <c r="J27" s="3">
        <f>SUM(D27:I27)</f>
        <v/>
      </c>
    </row>
    <row r="28">
      <c r="A28" s="1" t="n">
        <v>25</v>
      </c>
      <c r="B28" s="1" t="n">
        <v>10231057</v>
      </c>
      <c r="C28" s="2" t="inlineStr">
        <is>
          <t>Muhammad Aqila Ardhi</t>
        </is>
      </c>
      <c r="D28" s="1">
        <f>SUM('Nilai Mahasiswa'!D28*5.00/100,'Nilai Mahasiswa'!G28*4.00/100,'Nilai Mahasiswa'!N28*3.00/100,'Nilai Mahasiswa'!Q28*3.00/100)</f>
        <v/>
      </c>
      <c r="E28" s="1">
        <f>SUM('Nilai Mahasiswa'!E28*5.00/100,'Nilai Mahasiswa'!H28*4.00/100,'Nilai Mahasiswa'!L28*4.00/100,'Nilai Mahasiswa'!M28*3.00/100,'Nilai Mahasiswa'!O28*3.00/100,'Nilai Mahasiswa'!R28*3.00/100,'Nilai Mahasiswa'!U28*6.00/100,'Nilai Mahasiswa'!Y28*8.00/100)</f>
        <v/>
      </c>
      <c r="F28" s="1">
        <f>SUM('Nilai Mahasiswa'!F28*5.00/100,'Nilai Mahasiswa'!I28*4.00/100,'Nilai Mahasiswa'!P28*3.00/100,'Nilai Mahasiswa'!S28*3.00/100)</f>
        <v/>
      </c>
      <c r="G28" s="1">
        <f>SUM('Nilai Mahasiswa'!J28*6.00/100,'Nilai Mahasiswa'!T28*4.00/100,'Nilai Mahasiswa'!V28*6.00/100,'Nilai Mahasiswa'!X28*4.00/100)</f>
        <v/>
      </c>
      <c r="H28" s="1">
        <f>SUM('Nilai Mahasiswa'!K28*7.00/100)</f>
        <v/>
      </c>
      <c r="I28" s="1">
        <f>SUM('Nilai Mahasiswa'!W28*7.00/100)</f>
        <v/>
      </c>
      <c r="J28" s="3">
        <f>SUM(D28:I28)</f>
        <v/>
      </c>
    </row>
    <row r="29">
      <c r="A29" s="1" t="n">
        <v>26</v>
      </c>
      <c r="B29" s="1" t="n">
        <v>10231059</v>
      </c>
      <c r="C29" s="2" t="inlineStr">
        <is>
          <t>Muhammad Athala Romero</t>
        </is>
      </c>
      <c r="D29" s="1">
        <f>SUM('Nilai Mahasiswa'!D29*5.00/100,'Nilai Mahasiswa'!G29*4.00/100,'Nilai Mahasiswa'!N29*3.00/100,'Nilai Mahasiswa'!Q29*3.00/100)</f>
        <v/>
      </c>
      <c r="E29" s="1">
        <f>SUM('Nilai Mahasiswa'!E29*5.00/100,'Nilai Mahasiswa'!H29*4.00/100,'Nilai Mahasiswa'!L29*4.00/100,'Nilai Mahasiswa'!M29*3.00/100,'Nilai Mahasiswa'!O29*3.00/100,'Nilai Mahasiswa'!R29*3.00/100,'Nilai Mahasiswa'!U29*6.00/100,'Nilai Mahasiswa'!Y29*8.00/100)</f>
        <v/>
      </c>
      <c r="F29" s="1">
        <f>SUM('Nilai Mahasiswa'!F29*5.00/100,'Nilai Mahasiswa'!I29*4.00/100,'Nilai Mahasiswa'!P29*3.00/100,'Nilai Mahasiswa'!S29*3.00/100)</f>
        <v/>
      </c>
      <c r="G29" s="1">
        <f>SUM('Nilai Mahasiswa'!J29*6.00/100,'Nilai Mahasiswa'!T29*4.00/100,'Nilai Mahasiswa'!V29*6.00/100,'Nilai Mahasiswa'!X29*4.00/100)</f>
        <v/>
      </c>
      <c r="H29" s="1">
        <f>SUM('Nilai Mahasiswa'!K29*7.00/100)</f>
        <v/>
      </c>
      <c r="I29" s="1">
        <f>SUM('Nilai Mahasiswa'!W29*7.00/100)</f>
        <v/>
      </c>
      <c r="J29" s="3">
        <f>SUM(D29:I29)</f>
        <v/>
      </c>
    </row>
    <row r="30">
      <c r="A30" s="1" t="n">
        <v>27</v>
      </c>
      <c r="B30" s="1" t="n">
        <v>10231061</v>
      </c>
      <c r="C30" s="2" t="inlineStr">
        <is>
          <t>Muhammad Bagas Setiawan</t>
        </is>
      </c>
      <c r="D30" s="1">
        <f>SUM('Nilai Mahasiswa'!D30*5.00/100,'Nilai Mahasiswa'!G30*4.00/100,'Nilai Mahasiswa'!N30*3.00/100,'Nilai Mahasiswa'!Q30*3.00/100)</f>
        <v/>
      </c>
      <c r="E30" s="1">
        <f>SUM('Nilai Mahasiswa'!E30*5.00/100,'Nilai Mahasiswa'!H30*4.00/100,'Nilai Mahasiswa'!L30*4.00/100,'Nilai Mahasiswa'!M30*3.00/100,'Nilai Mahasiswa'!O30*3.00/100,'Nilai Mahasiswa'!R30*3.00/100,'Nilai Mahasiswa'!U30*6.00/100,'Nilai Mahasiswa'!Y30*8.00/100)</f>
        <v/>
      </c>
      <c r="F30" s="1">
        <f>SUM('Nilai Mahasiswa'!F30*5.00/100,'Nilai Mahasiswa'!I30*4.00/100,'Nilai Mahasiswa'!P30*3.00/100,'Nilai Mahasiswa'!S30*3.00/100)</f>
        <v/>
      </c>
      <c r="G30" s="1">
        <f>SUM('Nilai Mahasiswa'!J30*6.00/100,'Nilai Mahasiswa'!T30*4.00/100,'Nilai Mahasiswa'!V30*6.00/100,'Nilai Mahasiswa'!X30*4.00/100)</f>
        <v/>
      </c>
      <c r="H30" s="1">
        <f>SUM('Nilai Mahasiswa'!K30*7.00/100)</f>
        <v/>
      </c>
      <c r="I30" s="1">
        <f>SUM('Nilai Mahasiswa'!W30*7.00/100)</f>
        <v/>
      </c>
      <c r="J30" s="3">
        <f>SUM(D30:I30)</f>
        <v/>
      </c>
    </row>
    <row r="31">
      <c r="A31" s="1" t="n">
        <v>28</v>
      </c>
      <c r="B31" s="1" t="n">
        <v>10231063</v>
      </c>
      <c r="C31" s="2" t="inlineStr">
        <is>
          <t>Muhammad Fikri Haikal Ariadma</t>
        </is>
      </c>
      <c r="D31" s="1">
        <f>SUM('Nilai Mahasiswa'!D31*5.00/100,'Nilai Mahasiswa'!G31*4.00/100,'Nilai Mahasiswa'!N31*3.00/100,'Nilai Mahasiswa'!Q31*3.00/100)</f>
        <v/>
      </c>
      <c r="E31" s="1">
        <f>SUM('Nilai Mahasiswa'!E31*5.00/100,'Nilai Mahasiswa'!H31*4.00/100,'Nilai Mahasiswa'!L31*4.00/100,'Nilai Mahasiswa'!M31*3.00/100,'Nilai Mahasiswa'!O31*3.00/100,'Nilai Mahasiswa'!R31*3.00/100,'Nilai Mahasiswa'!U31*6.00/100,'Nilai Mahasiswa'!Y31*8.00/100)</f>
        <v/>
      </c>
      <c r="F31" s="1">
        <f>SUM('Nilai Mahasiswa'!F31*5.00/100,'Nilai Mahasiswa'!I31*4.00/100,'Nilai Mahasiswa'!P31*3.00/100,'Nilai Mahasiswa'!S31*3.00/100)</f>
        <v/>
      </c>
      <c r="G31" s="1">
        <f>SUM('Nilai Mahasiswa'!J31*6.00/100,'Nilai Mahasiswa'!T31*4.00/100,'Nilai Mahasiswa'!V31*6.00/100,'Nilai Mahasiswa'!X31*4.00/100)</f>
        <v/>
      </c>
      <c r="H31" s="1">
        <f>SUM('Nilai Mahasiswa'!K31*7.00/100)</f>
        <v/>
      </c>
      <c r="I31" s="1">
        <f>SUM('Nilai Mahasiswa'!W31*7.00/100)</f>
        <v/>
      </c>
      <c r="J31" s="3">
        <f>SUM(D31:I31)</f>
        <v/>
      </c>
    </row>
    <row r="32">
      <c r="A32" s="1" t="n">
        <v>29</v>
      </c>
      <c r="B32" s="1" t="n">
        <v>10231067</v>
      </c>
      <c r="C32" s="2" t="inlineStr">
        <is>
          <t>Nanda Aulia Putri</t>
        </is>
      </c>
      <c r="D32" s="1">
        <f>SUM('Nilai Mahasiswa'!D32*5.00/100,'Nilai Mahasiswa'!G32*4.00/100,'Nilai Mahasiswa'!N32*3.00/100,'Nilai Mahasiswa'!Q32*3.00/100)</f>
        <v/>
      </c>
      <c r="E32" s="1">
        <f>SUM('Nilai Mahasiswa'!E32*5.00/100,'Nilai Mahasiswa'!H32*4.00/100,'Nilai Mahasiswa'!L32*4.00/100,'Nilai Mahasiswa'!M32*3.00/100,'Nilai Mahasiswa'!O32*3.00/100,'Nilai Mahasiswa'!R32*3.00/100,'Nilai Mahasiswa'!U32*6.00/100,'Nilai Mahasiswa'!Y32*8.00/100)</f>
        <v/>
      </c>
      <c r="F32" s="1">
        <f>SUM('Nilai Mahasiswa'!F32*5.00/100,'Nilai Mahasiswa'!I32*4.00/100,'Nilai Mahasiswa'!P32*3.00/100,'Nilai Mahasiswa'!S32*3.00/100)</f>
        <v/>
      </c>
      <c r="G32" s="1">
        <f>SUM('Nilai Mahasiswa'!J32*6.00/100,'Nilai Mahasiswa'!T32*4.00/100,'Nilai Mahasiswa'!V32*6.00/100,'Nilai Mahasiswa'!X32*4.00/100)</f>
        <v/>
      </c>
      <c r="H32" s="1">
        <f>SUM('Nilai Mahasiswa'!K32*7.00/100)</f>
        <v/>
      </c>
      <c r="I32" s="1">
        <f>SUM('Nilai Mahasiswa'!W32*7.00/100)</f>
        <v/>
      </c>
      <c r="J32" s="3">
        <f>SUM(D32:I32)</f>
        <v/>
      </c>
    </row>
    <row r="33">
      <c r="A33" s="1" t="n">
        <v>30</v>
      </c>
      <c r="B33" s="1" t="n">
        <v>10231069</v>
      </c>
      <c r="C33" s="2" t="inlineStr">
        <is>
          <t>Nicholas Christian Samuel Manurung</t>
        </is>
      </c>
      <c r="D33" s="1">
        <f>SUM('Nilai Mahasiswa'!D33*5.00/100,'Nilai Mahasiswa'!G33*4.00/100,'Nilai Mahasiswa'!N33*3.00/100,'Nilai Mahasiswa'!Q33*3.00/100)</f>
        <v/>
      </c>
      <c r="E33" s="1">
        <f>SUM('Nilai Mahasiswa'!E33*5.00/100,'Nilai Mahasiswa'!H33*4.00/100,'Nilai Mahasiswa'!L33*4.00/100,'Nilai Mahasiswa'!M33*3.00/100,'Nilai Mahasiswa'!O33*3.00/100,'Nilai Mahasiswa'!R33*3.00/100,'Nilai Mahasiswa'!U33*6.00/100,'Nilai Mahasiswa'!Y33*8.00/100)</f>
        <v/>
      </c>
      <c r="F33" s="1">
        <f>SUM('Nilai Mahasiswa'!F33*5.00/100,'Nilai Mahasiswa'!I33*4.00/100,'Nilai Mahasiswa'!P33*3.00/100,'Nilai Mahasiswa'!S33*3.00/100)</f>
        <v/>
      </c>
      <c r="G33" s="1">
        <f>SUM('Nilai Mahasiswa'!J33*6.00/100,'Nilai Mahasiswa'!T33*4.00/100,'Nilai Mahasiswa'!V33*6.00/100,'Nilai Mahasiswa'!X33*4.00/100)</f>
        <v/>
      </c>
      <c r="H33" s="1">
        <f>SUM('Nilai Mahasiswa'!K33*7.00/100)</f>
        <v/>
      </c>
      <c r="I33" s="1">
        <f>SUM('Nilai Mahasiswa'!W33*7.00/100)</f>
        <v/>
      </c>
      <c r="J33" s="3">
        <f>SUM(D33:I33)</f>
        <v/>
      </c>
    </row>
    <row r="34">
      <c r="A34" s="1" t="n">
        <v>31</v>
      </c>
      <c r="B34" s="1" t="n">
        <v>10231073</v>
      </c>
      <c r="C34" s="2" t="inlineStr">
        <is>
          <t>Pangeran Borneo Silaen</t>
        </is>
      </c>
      <c r="D34" s="1">
        <f>SUM('Nilai Mahasiswa'!D34*5.00/100,'Nilai Mahasiswa'!G34*4.00/100,'Nilai Mahasiswa'!N34*3.00/100,'Nilai Mahasiswa'!Q34*3.00/100)</f>
        <v/>
      </c>
      <c r="E34" s="1">
        <f>SUM('Nilai Mahasiswa'!E34*5.00/100,'Nilai Mahasiswa'!H34*4.00/100,'Nilai Mahasiswa'!L34*4.00/100,'Nilai Mahasiswa'!M34*3.00/100,'Nilai Mahasiswa'!O34*3.00/100,'Nilai Mahasiswa'!R34*3.00/100,'Nilai Mahasiswa'!U34*6.00/100,'Nilai Mahasiswa'!Y34*8.00/100)</f>
        <v/>
      </c>
      <c r="F34" s="1">
        <f>SUM('Nilai Mahasiswa'!F34*5.00/100,'Nilai Mahasiswa'!I34*4.00/100,'Nilai Mahasiswa'!P34*3.00/100,'Nilai Mahasiswa'!S34*3.00/100)</f>
        <v/>
      </c>
      <c r="G34" s="1">
        <f>SUM('Nilai Mahasiswa'!J34*6.00/100,'Nilai Mahasiswa'!T34*4.00/100,'Nilai Mahasiswa'!V34*6.00/100,'Nilai Mahasiswa'!X34*4.00/100)</f>
        <v/>
      </c>
      <c r="H34" s="1">
        <f>SUM('Nilai Mahasiswa'!K34*7.00/100)</f>
        <v/>
      </c>
      <c r="I34" s="1">
        <f>SUM('Nilai Mahasiswa'!W34*7.00/100)</f>
        <v/>
      </c>
      <c r="J34" s="3">
        <f>SUM(D34:I34)</f>
        <v/>
      </c>
    </row>
    <row r="35">
      <c r="A35" s="1" t="n">
        <v>32</v>
      </c>
      <c r="B35" s="1" t="n">
        <v>10231077</v>
      </c>
      <c r="C35" s="2" t="inlineStr">
        <is>
          <t>Raisha Alika Irwandira</t>
        </is>
      </c>
      <c r="D35" s="1">
        <f>SUM('Nilai Mahasiswa'!D35*5.00/100,'Nilai Mahasiswa'!G35*4.00/100,'Nilai Mahasiswa'!N35*3.00/100,'Nilai Mahasiswa'!Q35*3.00/100)</f>
        <v/>
      </c>
      <c r="E35" s="1">
        <f>SUM('Nilai Mahasiswa'!E35*5.00/100,'Nilai Mahasiswa'!H35*4.00/100,'Nilai Mahasiswa'!L35*4.00/100,'Nilai Mahasiswa'!M35*3.00/100,'Nilai Mahasiswa'!O35*3.00/100,'Nilai Mahasiswa'!R35*3.00/100,'Nilai Mahasiswa'!U35*6.00/100,'Nilai Mahasiswa'!Y35*8.00/100)</f>
        <v/>
      </c>
      <c r="F35" s="1">
        <f>SUM('Nilai Mahasiswa'!F35*5.00/100,'Nilai Mahasiswa'!I35*4.00/100,'Nilai Mahasiswa'!P35*3.00/100,'Nilai Mahasiswa'!S35*3.00/100)</f>
        <v/>
      </c>
      <c r="G35" s="1">
        <f>SUM('Nilai Mahasiswa'!J35*6.00/100,'Nilai Mahasiswa'!T35*4.00/100,'Nilai Mahasiswa'!V35*6.00/100,'Nilai Mahasiswa'!X35*4.00/100)</f>
        <v/>
      </c>
      <c r="H35" s="1">
        <f>SUM('Nilai Mahasiswa'!K35*7.00/100)</f>
        <v/>
      </c>
      <c r="I35" s="1">
        <f>SUM('Nilai Mahasiswa'!W35*7.00/100)</f>
        <v/>
      </c>
      <c r="J35" s="3">
        <f>SUM(D35:I35)</f>
        <v/>
      </c>
    </row>
    <row r="36">
      <c r="A36" s="1" t="n">
        <v>33</v>
      </c>
      <c r="B36" s="1" t="n">
        <v>10231079</v>
      </c>
      <c r="C36" s="2" t="inlineStr">
        <is>
          <t>Rani Ayu Dewi</t>
        </is>
      </c>
      <c r="D36" s="1">
        <f>SUM('Nilai Mahasiswa'!D36*5.00/100,'Nilai Mahasiswa'!G36*4.00/100,'Nilai Mahasiswa'!N36*3.00/100,'Nilai Mahasiswa'!Q36*3.00/100)</f>
        <v/>
      </c>
      <c r="E36" s="1">
        <f>SUM('Nilai Mahasiswa'!E36*5.00/100,'Nilai Mahasiswa'!H36*4.00/100,'Nilai Mahasiswa'!L36*4.00/100,'Nilai Mahasiswa'!M36*3.00/100,'Nilai Mahasiswa'!O36*3.00/100,'Nilai Mahasiswa'!R36*3.00/100,'Nilai Mahasiswa'!U36*6.00/100,'Nilai Mahasiswa'!Y36*8.00/100)</f>
        <v/>
      </c>
      <c r="F36" s="1">
        <f>SUM('Nilai Mahasiswa'!F36*5.00/100,'Nilai Mahasiswa'!I36*4.00/100,'Nilai Mahasiswa'!P36*3.00/100,'Nilai Mahasiswa'!S36*3.00/100)</f>
        <v/>
      </c>
      <c r="G36" s="1">
        <f>SUM('Nilai Mahasiswa'!J36*6.00/100,'Nilai Mahasiswa'!T36*4.00/100,'Nilai Mahasiswa'!V36*6.00/100,'Nilai Mahasiswa'!X36*4.00/100)</f>
        <v/>
      </c>
      <c r="H36" s="1">
        <f>SUM('Nilai Mahasiswa'!K36*7.00/100)</f>
        <v/>
      </c>
      <c r="I36" s="1">
        <f>SUM('Nilai Mahasiswa'!W36*7.00/100)</f>
        <v/>
      </c>
      <c r="J36" s="3">
        <f>SUM(D36:I36)</f>
        <v/>
      </c>
    </row>
    <row r="37">
      <c r="A37" s="1" t="n">
        <v>34</v>
      </c>
      <c r="B37" s="1" t="n">
        <v>10231081</v>
      </c>
      <c r="C37" s="2" t="inlineStr">
        <is>
          <t>Rendy Rifandi Kurnia</t>
        </is>
      </c>
      <c r="D37" s="1">
        <f>SUM('Nilai Mahasiswa'!D37*5.00/100,'Nilai Mahasiswa'!G37*4.00/100,'Nilai Mahasiswa'!N37*3.00/100,'Nilai Mahasiswa'!Q37*3.00/100)</f>
        <v/>
      </c>
      <c r="E37" s="1">
        <f>SUM('Nilai Mahasiswa'!E37*5.00/100,'Nilai Mahasiswa'!H37*4.00/100,'Nilai Mahasiswa'!L37*4.00/100,'Nilai Mahasiswa'!M37*3.00/100,'Nilai Mahasiswa'!O37*3.00/100,'Nilai Mahasiswa'!R37*3.00/100,'Nilai Mahasiswa'!U37*6.00/100,'Nilai Mahasiswa'!Y37*8.00/100)</f>
        <v/>
      </c>
      <c r="F37" s="1">
        <f>SUM('Nilai Mahasiswa'!F37*5.00/100,'Nilai Mahasiswa'!I37*4.00/100,'Nilai Mahasiswa'!P37*3.00/100,'Nilai Mahasiswa'!S37*3.00/100)</f>
        <v/>
      </c>
      <c r="G37" s="1">
        <f>SUM('Nilai Mahasiswa'!J37*6.00/100,'Nilai Mahasiswa'!T37*4.00/100,'Nilai Mahasiswa'!V37*6.00/100,'Nilai Mahasiswa'!X37*4.00/100)</f>
        <v/>
      </c>
      <c r="H37" s="1">
        <f>SUM('Nilai Mahasiswa'!K37*7.00/100)</f>
        <v/>
      </c>
      <c r="I37" s="1">
        <f>SUM('Nilai Mahasiswa'!W37*7.00/100)</f>
        <v/>
      </c>
      <c r="J37" s="3">
        <f>SUM(D37:I37)</f>
        <v/>
      </c>
    </row>
    <row r="38">
      <c r="A38" s="1" t="n">
        <v>35</v>
      </c>
      <c r="B38" s="1" t="n">
        <v>10231083</v>
      </c>
      <c r="C38" s="2" t="inlineStr">
        <is>
          <t>Riska Fadlun Khairiyah Purba</t>
        </is>
      </c>
      <c r="D38" s="1">
        <f>SUM('Nilai Mahasiswa'!D38*5.00/100,'Nilai Mahasiswa'!G38*4.00/100,'Nilai Mahasiswa'!N38*3.00/100,'Nilai Mahasiswa'!Q38*3.00/100)</f>
        <v/>
      </c>
      <c r="E38" s="1">
        <f>SUM('Nilai Mahasiswa'!E38*5.00/100,'Nilai Mahasiswa'!H38*4.00/100,'Nilai Mahasiswa'!L38*4.00/100,'Nilai Mahasiswa'!M38*3.00/100,'Nilai Mahasiswa'!O38*3.00/100,'Nilai Mahasiswa'!R38*3.00/100,'Nilai Mahasiswa'!U38*6.00/100,'Nilai Mahasiswa'!Y38*8.00/100)</f>
        <v/>
      </c>
      <c r="F38" s="1">
        <f>SUM('Nilai Mahasiswa'!F38*5.00/100,'Nilai Mahasiswa'!I38*4.00/100,'Nilai Mahasiswa'!P38*3.00/100,'Nilai Mahasiswa'!S38*3.00/100)</f>
        <v/>
      </c>
      <c r="G38" s="1">
        <f>SUM('Nilai Mahasiswa'!J38*6.00/100,'Nilai Mahasiswa'!T38*4.00/100,'Nilai Mahasiswa'!V38*6.00/100,'Nilai Mahasiswa'!X38*4.00/100)</f>
        <v/>
      </c>
      <c r="H38" s="1">
        <f>SUM('Nilai Mahasiswa'!K38*7.00/100)</f>
        <v/>
      </c>
      <c r="I38" s="1">
        <f>SUM('Nilai Mahasiswa'!W38*7.00/100)</f>
        <v/>
      </c>
      <c r="J38" s="3">
        <f>SUM(D38:I38)</f>
        <v/>
      </c>
    </row>
    <row r="39">
      <c r="A39" s="1" t="n">
        <v>36</v>
      </c>
      <c r="B39" s="1" t="n">
        <v>10231085</v>
      </c>
      <c r="C39" s="2" t="inlineStr">
        <is>
          <t>RIZKI ABDUL AZIZ</t>
        </is>
      </c>
      <c r="D39" s="1">
        <f>SUM('Nilai Mahasiswa'!D39*5.00/100,'Nilai Mahasiswa'!G39*4.00/100,'Nilai Mahasiswa'!N39*3.00/100,'Nilai Mahasiswa'!Q39*3.00/100)</f>
        <v/>
      </c>
      <c r="E39" s="1">
        <f>SUM('Nilai Mahasiswa'!E39*5.00/100,'Nilai Mahasiswa'!H39*4.00/100,'Nilai Mahasiswa'!L39*4.00/100,'Nilai Mahasiswa'!M39*3.00/100,'Nilai Mahasiswa'!O39*3.00/100,'Nilai Mahasiswa'!R39*3.00/100,'Nilai Mahasiswa'!U39*6.00/100,'Nilai Mahasiswa'!Y39*8.00/100)</f>
        <v/>
      </c>
      <c r="F39" s="1">
        <f>SUM('Nilai Mahasiswa'!F39*5.00/100,'Nilai Mahasiswa'!I39*4.00/100,'Nilai Mahasiswa'!P39*3.00/100,'Nilai Mahasiswa'!S39*3.00/100)</f>
        <v/>
      </c>
      <c r="G39" s="1">
        <f>SUM('Nilai Mahasiswa'!J39*6.00/100,'Nilai Mahasiswa'!T39*4.00/100,'Nilai Mahasiswa'!V39*6.00/100,'Nilai Mahasiswa'!X39*4.00/100)</f>
        <v/>
      </c>
      <c r="H39" s="1">
        <f>SUM('Nilai Mahasiswa'!K39*7.00/100)</f>
        <v/>
      </c>
      <c r="I39" s="1">
        <f>SUM('Nilai Mahasiswa'!W39*7.00/100)</f>
        <v/>
      </c>
      <c r="J39" s="3">
        <f>SUM(D39:I39)</f>
        <v/>
      </c>
    </row>
    <row r="40">
      <c r="A40" s="1" t="n">
        <v>37</v>
      </c>
      <c r="B40" s="1" t="n">
        <v>10231087</v>
      </c>
      <c r="C40" s="2" t="inlineStr">
        <is>
          <t>Siti Nur Azizah Putri Awni</t>
        </is>
      </c>
      <c r="D40" s="1">
        <f>SUM('Nilai Mahasiswa'!D40*5.00/100,'Nilai Mahasiswa'!G40*4.00/100,'Nilai Mahasiswa'!N40*3.00/100,'Nilai Mahasiswa'!Q40*3.00/100)</f>
        <v/>
      </c>
      <c r="E40" s="1">
        <f>SUM('Nilai Mahasiswa'!E40*5.00/100,'Nilai Mahasiswa'!H40*4.00/100,'Nilai Mahasiswa'!L40*4.00/100,'Nilai Mahasiswa'!M40*3.00/100,'Nilai Mahasiswa'!O40*3.00/100,'Nilai Mahasiswa'!R40*3.00/100,'Nilai Mahasiswa'!U40*6.00/100,'Nilai Mahasiswa'!Y40*8.00/100)</f>
        <v/>
      </c>
      <c r="F40" s="1">
        <f>SUM('Nilai Mahasiswa'!F40*5.00/100,'Nilai Mahasiswa'!I40*4.00/100,'Nilai Mahasiswa'!P40*3.00/100,'Nilai Mahasiswa'!S40*3.00/100)</f>
        <v/>
      </c>
      <c r="G40" s="1">
        <f>SUM('Nilai Mahasiswa'!J40*6.00/100,'Nilai Mahasiswa'!T40*4.00/100,'Nilai Mahasiswa'!V40*6.00/100,'Nilai Mahasiswa'!X40*4.00/100)</f>
        <v/>
      </c>
      <c r="H40" s="1">
        <f>SUM('Nilai Mahasiswa'!K40*7.00/100)</f>
        <v/>
      </c>
      <c r="I40" s="1">
        <f>SUM('Nilai Mahasiswa'!W40*7.00/100)</f>
        <v/>
      </c>
      <c r="J40" s="3">
        <f>SUM(D40:I40)</f>
        <v/>
      </c>
    </row>
    <row r="41">
      <c r="A41" s="1" t="n">
        <v>38</v>
      </c>
      <c r="B41" s="1" t="n">
        <v>10231088</v>
      </c>
      <c r="C41" s="2" t="inlineStr">
        <is>
          <t>Tiya Mitra Ayu Purwanti</t>
        </is>
      </c>
      <c r="D41" s="1">
        <f>SUM('Nilai Mahasiswa'!D41*5.00/100,'Nilai Mahasiswa'!G41*4.00/100,'Nilai Mahasiswa'!N41*3.00/100,'Nilai Mahasiswa'!Q41*3.00/100)</f>
        <v/>
      </c>
      <c r="E41" s="1">
        <f>SUM('Nilai Mahasiswa'!E41*5.00/100,'Nilai Mahasiswa'!H41*4.00/100,'Nilai Mahasiswa'!L41*4.00/100,'Nilai Mahasiswa'!M41*3.00/100,'Nilai Mahasiswa'!O41*3.00/100,'Nilai Mahasiswa'!R41*3.00/100,'Nilai Mahasiswa'!U41*6.00/100,'Nilai Mahasiswa'!Y41*8.00/100)</f>
        <v/>
      </c>
      <c r="F41" s="1">
        <f>SUM('Nilai Mahasiswa'!F41*5.00/100,'Nilai Mahasiswa'!I41*4.00/100,'Nilai Mahasiswa'!P41*3.00/100,'Nilai Mahasiswa'!S41*3.00/100)</f>
        <v/>
      </c>
      <c r="G41" s="1">
        <f>SUM('Nilai Mahasiswa'!J41*6.00/100,'Nilai Mahasiswa'!T41*4.00/100,'Nilai Mahasiswa'!V41*6.00/100,'Nilai Mahasiswa'!X41*4.00/100)</f>
        <v/>
      </c>
      <c r="H41" s="1">
        <f>SUM('Nilai Mahasiswa'!K41*7.00/100)</f>
        <v/>
      </c>
      <c r="I41" s="1">
        <f>SUM('Nilai Mahasiswa'!W41*7.00/100)</f>
        <v/>
      </c>
      <c r="J41" s="3">
        <f>SUM(D41:I41)</f>
        <v/>
      </c>
    </row>
    <row r="42">
      <c r="A42" s="1" t="n">
        <v>39</v>
      </c>
      <c r="B42" s="1" t="n">
        <v>10231089</v>
      </c>
      <c r="C42" s="2" t="inlineStr">
        <is>
          <t>Varrel Kaleb Ropard Pasaribu</t>
        </is>
      </c>
      <c r="D42" s="1">
        <f>SUM('Nilai Mahasiswa'!D42*5.00/100,'Nilai Mahasiswa'!G42*4.00/100,'Nilai Mahasiswa'!N42*3.00/100,'Nilai Mahasiswa'!Q42*3.00/100)</f>
        <v/>
      </c>
      <c r="E42" s="1">
        <f>SUM('Nilai Mahasiswa'!E42*5.00/100,'Nilai Mahasiswa'!H42*4.00/100,'Nilai Mahasiswa'!L42*4.00/100,'Nilai Mahasiswa'!M42*3.00/100,'Nilai Mahasiswa'!O42*3.00/100,'Nilai Mahasiswa'!R42*3.00/100,'Nilai Mahasiswa'!U42*6.00/100,'Nilai Mahasiswa'!Y42*8.00/100)</f>
        <v/>
      </c>
      <c r="F42" s="1">
        <f>SUM('Nilai Mahasiswa'!F42*5.00/100,'Nilai Mahasiswa'!I42*4.00/100,'Nilai Mahasiswa'!P42*3.00/100,'Nilai Mahasiswa'!S42*3.00/100)</f>
        <v/>
      </c>
      <c r="G42" s="1">
        <f>SUM('Nilai Mahasiswa'!J42*6.00/100,'Nilai Mahasiswa'!T42*4.00/100,'Nilai Mahasiswa'!V42*6.00/100,'Nilai Mahasiswa'!X42*4.00/100)</f>
        <v/>
      </c>
      <c r="H42" s="1">
        <f>SUM('Nilai Mahasiswa'!K42*7.00/100)</f>
        <v/>
      </c>
      <c r="I42" s="1">
        <f>SUM('Nilai Mahasiswa'!W42*7.00/100)</f>
        <v/>
      </c>
      <c r="J42" s="3">
        <f>SUM(D42:I42)</f>
        <v/>
      </c>
    </row>
    <row r="43">
      <c r="A43" s="1" t="n">
        <v>40</v>
      </c>
      <c r="B43" s="1" t="n">
        <v>10231091</v>
      </c>
      <c r="C43" s="2" t="inlineStr">
        <is>
          <t>Yosan Pratiwi</t>
        </is>
      </c>
      <c r="D43" s="1">
        <f>SUM('Nilai Mahasiswa'!D43*5.00/100,'Nilai Mahasiswa'!G43*4.00/100,'Nilai Mahasiswa'!N43*3.00/100,'Nilai Mahasiswa'!Q43*3.00/100)</f>
        <v/>
      </c>
      <c r="E43" s="1">
        <f>SUM('Nilai Mahasiswa'!E43*5.00/100,'Nilai Mahasiswa'!H43*4.00/100,'Nilai Mahasiswa'!L43*4.00/100,'Nilai Mahasiswa'!M43*3.00/100,'Nilai Mahasiswa'!O43*3.00/100,'Nilai Mahasiswa'!R43*3.00/100,'Nilai Mahasiswa'!U43*6.00/100,'Nilai Mahasiswa'!Y43*8.00/100)</f>
        <v/>
      </c>
      <c r="F43" s="1">
        <f>SUM('Nilai Mahasiswa'!F43*5.00/100,'Nilai Mahasiswa'!I43*4.00/100,'Nilai Mahasiswa'!P43*3.00/100,'Nilai Mahasiswa'!S43*3.00/100)</f>
        <v/>
      </c>
      <c r="G43" s="1">
        <f>SUM('Nilai Mahasiswa'!J43*6.00/100,'Nilai Mahasiswa'!T43*4.00/100,'Nilai Mahasiswa'!V43*6.00/100,'Nilai Mahasiswa'!X43*4.00/100)</f>
        <v/>
      </c>
      <c r="H43" s="1">
        <f>SUM('Nilai Mahasiswa'!K43*7.00/100)</f>
        <v/>
      </c>
      <c r="I43" s="1">
        <f>SUM('Nilai Mahasiswa'!W43*7.00/100)</f>
        <v/>
      </c>
      <c r="J43" s="3">
        <f>SUM(D43:I43)</f>
        <v/>
      </c>
    </row>
    <row r="44">
      <c r="A44" s="1" t="n"/>
      <c r="B44" s="1" t="n"/>
      <c r="C44" s="2" t="inlineStr">
        <is>
          <t>RATA-RATA KELAS</t>
        </is>
      </c>
      <c r="D44" s="1">
        <f>AVERAGE(D4:D43)</f>
        <v/>
      </c>
      <c r="E44" s="1">
        <f>AVERAGE(E4:E43)</f>
        <v/>
      </c>
      <c r="F44" s="1">
        <f>AVERAGE(F4:F43)</f>
        <v/>
      </c>
      <c r="G44" s="1">
        <f>AVERAGE(G4:G43)</f>
        <v/>
      </c>
      <c r="H44" s="1">
        <f>AVERAGE(H4:H43)</f>
        <v/>
      </c>
      <c r="I44" s="1">
        <f>AVERAGE(I4:I43)</f>
        <v/>
      </c>
      <c r="J44" s="3">
        <f>AVERAGE(J4:J43)</f>
        <v/>
      </c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0" password="8B6E"/>
  <mergeCells count="1">
    <mergeCell ref="A1:J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2026-05-15T07:49:41Z</dcterms:created>
  <dcterms:modified xmlns:dcterms="http://purl.org/dc/terms/" xmlns:xsi="http://www.w3.org/2001/XMLSchema-instance" xsi:type="dcterms:W3CDTF">2026-05-15T00:10:36Z</dcterms:modified>
  <cp:lastModifiedBy>Unknown Creator</cp:lastModifiedBy>
</cp:coreProperties>
</file>